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amp; Server Specs" sheetId="1" state="visible" r:id="rId3"/>
    <sheet name="CP Jan Sunwai (CPJS)" sheetId="2" state="visible" r:id="rId4"/>
    <sheet name="SHANTI AI Chatbot" sheetId="3" state="visible" r:id="rId5"/>
    <sheet name="Online Booking System" sheetId="4" state="visible" r:id="rId6"/>
    <sheet name="PRISM"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<sst xmlns="http://schemas.openxmlformats.org/spreadsheetml/2006/main" count="1094" uniqueCount="847">
  <si>
    <t xml:space="preserve">Delhi Police — Infrastructure Requirements: Cross-System Summary &amp; New Server Specification</t>
  </si>
  <si>
    <t xml:space="preserve">Comparison across CP Jan Sunwai (CPJS), SHANTI AI Chatbot, the Conference Hall Online Booking System, and PRISM (PHAROS) — compiled 03-Jul-2026 for new server procurement sizing, updated 06-Jul-2026 to add PRISM. SHANTI's GPU spec reflects the 03-Jul-2026 dual-LLM-call correction; see SHANTI sheet Section 2.</t>
  </si>
  <si>
    <t xml:space="preserve">1. System Comparison Matrix</t>
  </si>
  <si>
    <t xml:space="preserve">Category</t>
  </si>
  <si>
    <t xml:space="preserve">CP Jan Sunwai (CPJS)</t>
  </si>
  <si>
    <t xml:space="preserve">SHANTI AI Chatbot</t>
  </si>
  <si>
    <t xml:space="preserve">Online Booking System</t>
  </si>
  <si>
    <t xml:space="preserve">PRISM</t>
  </si>
  <si>
    <t xml:space="preserve">System Type / Architecture</t>
  </si>
  <si>
    <t xml:space="preserve">Monolithic FastAPI backend (11 route modules) + self-hosted Ollama LLM microservice; 3-tier (Web / App / DB)</t>
  </si>
  <si>
    <t xml:space="preserve">FastAPI backend + IndicBERTv2 embedding + llama.cpp LLM server (Qwen2.5-7B-Instruct); 2 compute components, VM-1/VM-2</t>
  </si>
  <si>
    <t xml:space="preserve">2-tier: React/Vite frontend + Node.js API (VM-01), PostgreSQL (VM-02)</t>
  </si>
  <si>
    <t xml:space="preserve">Multi-tier: React/Vite SPA + Node.js/Express API + PostgreSQL 16 (JSONB) + RabbitMQ event bus + Redis cache + Keycloak (Phase 2 MFA/SSO); 4 compute components</t>
  </si>
  <si>
    <t xml:space="preserve">Deployment Scope / Users</t>
  </si>
  <si>
    <t xml:space="preserve">~200 registered users; 40–50 concurrent; Delhi Police PHQ grievance system</t>
  </si>
  <si>
    <t xml:space="preserve">~15,000 msgs/day launch estimate (1,000–4,000 sessions/day); public citizen-facing chatbot</t>
  </si>
  <si>
    <t xml:space="preserve">~15–20 halls; hundreds of department internal users; internal booking tool</t>
  </si>
  <si>
    <t xml:space="preserve">Phase 4 target: 18 PS, 10 ACP sub-divisions, 5 DCP districts (approx., ± a few); hierarchical HC→SHO→District/DCP→JCP/ACP→SCP→HQ; internal police users only (~100–120 registered, ~25–35 concurrent)</t>
  </si>
  <si>
    <t xml:space="preserve">Public Internet Exposure</t>
  </si>
  <si>
    <t xml:space="preserve">Partial — admin/officer access intranet-only; complainant tracking portal via token-protected public URL</t>
  </si>
  <si>
    <t xml:space="preserve">Yes — primary citizen-facing endpoint (ports 443/80 public)</t>
  </si>
  <si>
    <t xml:space="preserve">No — internal network only (ports 80/443 restricted to internal network)</t>
  </si>
  <si>
    <t xml:space="preserve">No — fully internal, role-based hierarchical access; no citizen-facing endpoints</t>
  </si>
  <si>
    <t xml:space="preserve">Compute — vCPU (Prod)</t>
  </si>
  <si>
    <t xml:space="preserve">Compute — RAM (Prod)</t>
  </si>
  <si>
    <t xml:space="preserve">GPU Requirement</t>
  </si>
  <si>
    <t xml:space="preserve">1x GPU — SOURCE DATA CONFLICT: 'L4 24GB' vs 'T4 16GB' both cited for the same Ollama transcription VM. Confirm L4 24GB before procurement (CPJS sheet, Section 3 warning).</t>
  </si>
  <si>
    <t xml:space="preserve">1x NVIDIA A10G or L4, 24GB VRAM — REVISED from source doc's T4/16GB (SHANTI sheet, Section 2 &amp; 4: dual-LLM-call workload correction).</t>
  </si>
  <si>
    <t xml:space="preserve">None required</t>
  </si>
  <si>
    <t xml:space="preserve">Compute VM Local Storage (Prod, SSD/NVMe)</t>
  </si>
  <si>
    <t xml:space="preserve">Database / Object Storage / Backup</t>
  </si>
  <si>
    <t xml:space="preserve">~5 GB DB (runs on VM-1, already counted above) + 50 GB backup object storage (30-day retention)</t>
  </si>
  <si>
    <t xml:space="preserve">Included in VM-02's 100GB (pg_dump backups on same volume, 30-day retention) — no separate object storage tier in source</t>
  </si>
  <si>
    <t xml:space="preserve">Total Provisioned Storage Footprint</t>
  </si>
  <si>
    <t xml:space="preserve">Database Engine(s)</t>
  </si>
  <si>
    <t xml:space="preserve">PostgreSQL 16 (pgvector) + Redis 7</t>
  </si>
  <si>
    <t xml:space="preserve">PostgreSQL 15 + Redis 7 + FAISS (file-based)</t>
  </si>
  <si>
    <t xml:space="preserve">PostgreSQL 15/16</t>
  </si>
  <si>
    <t xml:space="preserve">PostgreSQL 16 (JSONB) + Redis 7 + RabbitMQ 3.x (message store)</t>
  </si>
  <si>
    <t xml:space="preserve">Network Bandwidth</t>
  </si>
  <si>
    <t xml:space="preserve">Internal VPN-based access only, no public IP; 500 Mbps NGFW/ALB baseline (Prod)</t>
  </si>
  <si>
    <t xml:space="preserve">~3 GB/month outbound — compute-bound, not network-bound; 100 Mbps sufficient</t>
  </si>
  <si>
    <t xml:space="preserve">100 Mbps standard internal connection sufficient</t>
  </si>
  <si>
    <t xml:space="preserve">Internal VPN/WAN-based access only, no public IP; 200 Mbps baseline (Puppeteer PDF rendering &amp; MinIO attachment transfer are main consumers, not general API traffic)</t>
  </si>
  <si>
    <t xml:space="preserve">DR / Backup</t>
  </si>
  <si>
    <t xml:space="preserve">50% warm-standby DR; RTO 4h / RPO 1h</t>
  </si>
  <si>
    <t xml:space="preserve">Daily pg_dump (30-day retention) + weekly VM snapshots (4 retained); no DR replica at launch</t>
  </si>
  <si>
    <t xml:space="preserve">Daily pg_dump (30-day retention); no DR replica specified in source</t>
  </si>
  <si>
    <t xml:space="preserve">Daily pg_dump + continuous WAL archiving (append-only audit trail is legally significant — must never be lost); weekly VM snapshots; no warm-standby DR at Phase 2 launch — evaluate ahead of Phase 4 full rollout</t>
  </si>
  <si>
    <t xml:space="preserve">Key Bottleneck / Risk</t>
  </si>
  <si>
    <t xml:space="preserve">GPU spec conflict in source data (L4 vs T4) for the Ollama transcription VM — confirm before buying</t>
  </si>
  <si>
    <t xml:space="preserve">LLM token-generation is the sole bottleneck at all realistic traffic levels; GPU memory bandwidth (not VRAM capacity) is the binding constraint — hence the A10G/L4 upgrade</t>
  </si>
  <si>
    <t xml:space="preserve">Low risk — small dataset, low concurrency, no GPU, internal-only network exposure</t>
  </si>
  <si>
    <t xml:space="preserve">Puppeteer PDF generation (headless Chromium) is CPU/RAM-bound during report bursts; the Keycloak (MFA/SSO) and MinIO (object storage) tiers are Phase 2 roadmap items not yet deployed in Phase 1 production — provision ahead of Phase 2 go-live</t>
  </si>
  <si>
    <t xml:space="preserve">2. Consolidated Procurement Rollup (New Server Sizing, Prod Environment Only)</t>
  </si>
  <si>
    <t xml:space="preserve">Figures below are Prod-only (excl. bastion, UAT, DR) — the footprint that matters for sizing the primary new production server. Each system's own sheet has the full derivation and UAT/DR figures.</t>
  </si>
  <si>
    <t xml:space="preserve">Rollup Category</t>
  </si>
  <si>
    <t xml:space="preserve">PRISM (PHAROS)</t>
  </si>
  <si>
    <t xml:space="preserve">(a) App/compute VM — vCPU / RAM / local SSD</t>
  </si>
  <si>
    <t xml:space="preserve">14 vCPU / 56 GB / 600 GB</t>
  </si>
  <si>
    <t xml:space="preserve">16 vCPU / 56 GB / 180 GB</t>
  </si>
  <si>
    <t xml:space="preserve">4 vCPU / 12 GB / 150 GB</t>
  </si>
  <si>
    <t xml:space="preserve">16 vCPU / 32 GB / 200 GB</t>
  </si>
  <si>
    <t xml:space="preserve">(b) GPU (24GB-VRAM class recommended)</t>
  </si>
  <si>
    <t xml:space="preserve">1x (L4 recommended — confirm)</t>
  </si>
  <si>
    <t xml:space="preserve">1x (A10G or L4)</t>
  </si>
  <si>
    <t xml:space="preserve">None</t>
  </si>
  <si>
    <t xml:space="preserve">(c) DB/PaaS compute — if self-hosted, not managed PaaS</t>
  </si>
  <si>
    <t xml:space="preserve">8 vCPU / 400 GB (Postgres+Redis)</t>
  </si>
  <si>
    <t xml:space="preserve">Already counted in (a) — runs on VM-1</t>
  </si>
  <si>
    <t xml:space="preserve">Already counted in (a) — runs on VM-02</t>
  </si>
  <si>
    <t xml:space="preserve">8 vCPU / 32 GB RAM / 400 GB (PostgreSQL 16)</t>
  </si>
  <si>
    <t xml:space="preserve">(d) Object storage / backup tier (separate from compute)</t>
  </si>
  <si>
    <t xml:space="preserve">~3,100 GB</t>
  </si>
  <si>
    <t xml:space="preserve">~50 GB</t>
  </si>
  <si>
    <t xml:space="preserve">0 GB (within VM-02 disk)</t>
  </si>
  <si>
    <t xml:space="preserve">TOTAL — (a) compute across all 4 systems</t>
  </si>
  <si>
    <t xml:space="preserve">50 vCPU  /  156 GB RAM  /  1,130 GB local SSD</t>
  </si>
  <si>
    <t xml:space="preserve">TOTAL — (b) GPU across all 4 systems</t>
  </si>
  <si>
    <t xml:space="preserve">2x GPU, 24GB-VRAM class (see risk note below)</t>
  </si>
  <si>
    <t xml:space="preserve">TOTAL — (d) object storage / backup across all 4 systems</t>
  </si>
  <si>
    <t xml:space="preserve">~3,750 GB  (~3.75 TB)</t>
  </si>
  <si>
    <t xml:space="preserve">3. Recommendation</t>
  </si>
  <si>
    <t xml:space="preserve">✓ NEW SERVER BASELINE (Prod, all 4 systems): ≥50 vCPU / ≥156 GB RAM / ≥1,130 GB NVMe-SSD local compute storage, plus 2x GPU at 24GB VRAM class — 1x A10G/L4 dedicated to SHANTI's LLM server, 1x L4 dedicated to CPJS's Ollama transcription VM (PRISM requires no GPU). Add ~15–20% headroom for CPJS's stated 10% QoQ compute growth, to stay ahead of SHANTI's own 50,000 msgs/day re-scaling trigger, and for PRISM's Phase 3 load-testing target of 250 PS (vs. its ~18 PS/10 ACP/5 DCP Phase 4 rollout figure above) — a practical floor is closer to ~58 vCPU / ~180 GB RAM.</t>
  </si>
  <si>
    <t xml:space="preserve">⚠ Do not assume the two GPU workloads can time-share a single card. CPJS's Ollama VM is scheduled ON only during hearing hours (business hours), but SHANTI is a public, always-on citizen chatbot with no fixed off-hours — the two traffic windows are not guaranteed to be disjoint. Provision 2 separate GPUs (or a dual-GPU server) unless the hearing-hours schedule is confirmed to never overlap chatbot peak traffic. PRISM has no GPU requirement and does not affect this calculation.</t>
  </si>
  <si>
    <t xml:space="preserve">Rollup rows (c) and (d) — DB/PaaS compute and object storage/backup — are typically NOT part of a compute server order; they map to managed PaaS (RDS/Azure DB) and S3-compatible object storage respectively. Confirm with NIC Meghraj whether these are procured as separate managed services or must be self-hosted on the same physical hardware; the latter would add CPJS's 8 vCPU / ~3.5 TB and PRISM's 8 vCPU / 400 GB DB requirement, plus the combined ~3.75 TB object-storage/backup tier, onto the server spec above.</t>
  </si>
  <si>
    <t xml:space="preserve">This is a first-pass sizing estimate for procurement scoping, built by aggregating each system's own Prod-environment figures (see the CPJS, SHANTI, Online Booking System, and PRISM sheets for full line-item derivation). It excludes UAT/DR capacity — size those separately once the Prod hardware decision is made. Not a substitute for load testing once all four systems are live.</t>
  </si>
  <si>
    <t xml:space="preserve">CP Jan Sunwai (CPJS) — Delhi Police Public Grievance System — Infrastructure Detail</t>
  </si>
  <si>
    <t xml:space="preserve">Source: NIC Meghraj Cloud Onboarding Questionnaire (CPJS__CP_JAN_SUNWAI__.xlsx) — sheets KYA, Infra Requirements, Drived. Compiled 03-Jul-2026.</t>
  </si>
  <si>
    <t xml:space="preserve">1. Application Profile</t>
  </si>
  <si>
    <t xml:space="preserve">Parameter</t>
  </si>
  <si>
    <t xml:space="preserve">Value</t>
  </si>
  <si>
    <t xml:space="preserve">Remarks</t>
  </si>
  <si>
    <t xml:space="preserve">Application type</t>
  </si>
  <si>
    <t xml:space="preserve">Monolithic (modular) — single FastAPI process, 11 route modules</t>
  </si>
  <si>
    <t xml:space="preserve">Modules: cases, auth, ai_routes, analytics, assignments, tracking, bhashini, notifications, audio, admin, public_sho</t>
  </si>
  <si>
    <t xml:space="preserve">Public internet exposure</t>
  </si>
  <si>
    <t xml:space="preserve">Partial</t>
  </si>
  <si>
    <t xml:space="preserve">Admin/officer access is intranet-only; complainant tracking portal is public via token-protected URL</t>
  </si>
  <si>
    <t xml:space="preserve">Current DB size</t>
  </si>
  <si>
    <t xml:space="preserve">~8 GB</t>
  </si>
  <si>
    <t xml:space="preserve">PostgreSQL 16 with pgvector extension</t>
  </si>
  <si>
    <t xml:space="preserve">Object storage (audio + docs)</t>
  </si>
  <si>
    <t xml:space="preserve">~135 GB/year</t>
  </si>
  <si>
    <t xml:space="preserve">Grows with case volume</t>
  </si>
  <si>
    <t xml:space="preserve">Data growth (QoQ)</t>
  </si>
  <si>
    <t xml:space="preserve">25%</t>
  </si>
  <si>
    <t xml:space="preserve">Compute growth (QoQ)</t>
  </si>
  <si>
    <t xml:space="preserve">10%</t>
  </si>
  <si>
    <t xml:space="preserve">User growth (QoQ)</t>
  </si>
  <si>
    <t xml:space="preserve">20%</t>
  </si>
  <si>
    <t xml:space="preserve">Total registered users</t>
  </si>
  <si>
    <t xml:space="preserve">~200</t>
  </si>
  <si>
    <t xml:space="preserve">Concurrent users</t>
  </si>
  <si>
    <t xml:space="preserve">40–50 (peak 50)</t>
  </si>
  <si>
    <t xml:space="preserve">Avg request size</t>
  </si>
  <si>
    <t xml:space="preserve">~40 KB (API)</t>
  </si>
  <si>
    <t xml:space="preserve">Most APIs 2–20 KB JSON; live ASR streams 64–128 KB/4-sec chunk; peak uploads (audio/docs) up to ~25 MB</t>
  </si>
  <si>
    <t xml:space="preserve">Required IOPS</t>
  </si>
  <si>
    <t xml:space="preserve">10,000</t>
  </si>
  <si>
    <t xml:space="preserve">Department-level aggregate requirement stated in questionnaire</t>
  </si>
  <si>
    <t xml:space="preserve">CDN required</t>
  </si>
  <si>
    <t xml:space="preserve">Yes</t>
  </si>
  <si>
    <t xml:space="preserve">DR required</t>
  </si>
  <si>
    <t xml:space="preserve">Yes — 50% of Prod (warm standby)</t>
  </si>
  <si>
    <t xml:space="preserve">Can be raised to 100% active-active if near-zero RTO mandated</t>
  </si>
  <si>
    <t xml:space="preserve">Environments</t>
  </si>
  <si>
    <t xml:space="preserve">Prod, UAT, DR</t>
  </si>
  <si>
    <t xml:space="preserve">Email gateway (SMTP)</t>
  </si>
  <si>
    <t xml:space="preserve">Required</t>
  </si>
  <si>
    <t xml:space="preserve">Transactional email</t>
  </si>
  <si>
    <t xml:space="preserve">SMS gateway</t>
  </si>
  <si>
    <t xml:space="preserve">OTP identity verification</t>
  </si>
  <si>
    <t xml:space="preserve">2. Third-Party / External Integrations</t>
  </si>
  <si>
    <t xml:space="preserve">Integration</t>
  </si>
  <si>
    <t xml:space="preserve">Purpose</t>
  </si>
  <si>
    <t xml:space="preserve">Protocol</t>
  </si>
  <si>
    <t xml:space="preserve">Bhashini ASR/NMT</t>
  </si>
  <si>
    <t xml:space="preserve">GoI multilingual speech-to-text + translation</t>
  </si>
  <si>
    <t xml:space="preserve">REST/HTTPS</t>
  </si>
  <si>
    <t xml:space="preserve">Used for JSIO voice-based grievance intake</t>
  </si>
  <si>
    <t xml:space="preserve">SMS Gateway</t>
  </si>
  <si>
    <t xml:space="preserve">OTP delivery</t>
  </si>
  <si>
    <t xml:space="preserve">SMTP Relay</t>
  </si>
  <si>
    <t xml:space="preserve">SMTP</t>
  </si>
  <si>
    <t xml:space="preserve">Ollama LLM (self-hosted)</t>
  </si>
  <si>
    <t xml:space="preserve">AI extraction of structured case fields; IPC/BNS suggestion</t>
  </si>
  <si>
    <t xml:space="preserve">Internal REST</t>
  </si>
  <si>
    <t xml:space="preserve">Self-hosted internal AI service, not third-party SaaS</t>
  </si>
  <si>
    <t xml:space="preserve">Object Storage (S3-compatible)</t>
  </si>
  <si>
    <t xml:space="preserve">Audio/document store</t>
  </si>
  <si>
    <t xml:space="preserve">All integration is over REST/HTTPS APIs (+ WebSocket for real-time notifications). No direct DB links to external systems — DB is accessed solely by the backend service.</t>
  </si>
  <si>
    <t xml:space="preserve">3. Compute — Virtual Machines (IaaS)</t>
  </si>
  <si>
    <t xml:space="preserve">Environment</t>
  </si>
  <si>
    <t xml:space="preserve">Layer</t>
  </si>
  <si>
    <t xml:space="preserve">Component</t>
  </si>
  <si>
    <t xml:space="preserve">No. of VMs</t>
  </si>
  <si>
    <t xml:space="preserve">vCPU/VM</t>
  </si>
  <si>
    <t xml:space="preserve">RAM/VM (GB)</t>
  </si>
  <si>
    <t xml:space="preserve">OS Disk (GB)</t>
  </si>
  <si>
    <t xml:space="preserve">Addl. Disk (GB)</t>
  </si>
  <si>
    <t xml:space="preserve">Remarks / Instance Class Equivalent</t>
  </si>
  <si>
    <t xml:space="preserve">All Envs.</t>
  </si>
  <si>
    <t xml:space="preserve">Access</t>
  </si>
  <si>
    <t xml:space="preserve">Bastion Host</t>
  </si>
  <si>
    <t xml:space="preserve">Mandatory access method per NIC Meghraj policy. Separate bastion instance per env (Prod/Dev-UAT/DR) recommended.</t>
  </si>
  <si>
    <t xml:space="preserve">Prod Env.</t>
  </si>
  <si>
    <t xml:space="preserve">App</t>
  </si>
  <si>
    <t xml:space="preserve">CPJS API (Backend)</t>
  </si>
  <si>
    <t xml:space="preserve">m6i.xlarge / Standard_D4s_v5 — runs FastAPI. IOPS req: 3,000</t>
  </si>
  <si>
    <t xml:space="preserve">AI Transcription (Ollama)</t>
  </si>
  <si>
    <t xml:space="preserve">GPU: g6.xlarge (NVIDIA L4 24GB) / NC8as_T4_v3 — scheduled ON during hearing hours only. IOPS req: 3,000</t>
  </si>
  <si>
    <t xml:space="preserve">Web</t>
  </si>
  <si>
    <t xml:space="preserve">Nginx Reverse Proxy</t>
  </si>
  <si>
    <t xml:space="preserve">Behind ALB + WAF. IOPS req: 1,000</t>
  </si>
  <si>
    <t xml:space="preserve">UAT Env.</t>
  </si>
  <si>
    <t xml:space="preserve">CPJS API (Dev/UAT)</t>
  </si>
  <si>
    <t xml:space="preserve">Shared Dev+UAT environment. IOPS req: 1,000</t>
  </si>
  <si>
    <t xml:space="preserve">DR Env.</t>
  </si>
  <si>
    <t xml:space="preserve">CPJS API (DR)</t>
  </si>
  <si>
    <t xml:space="preserve">50% of Prod capacity — warm standby. IOPS req: 1,500</t>
  </si>
  <si>
    <t xml:space="preserve">PROD ONLY — Total (Bastion excl.)</t>
  </si>
  <si>
    <t xml:space="preserve">ALL ENVS — Total incl. Bastion, UAT, DR</t>
  </si>
  <si>
    <t xml:space="preserve">⚠ GPU CONFLICT IN SOURCE DATA: the questionnaire's remarks column cites two non-equivalent GPU options for the AI Transcription VM — 'NVIDIA L4 24GB' and 'NC8as_T4_v3' (T4, 16GB). These are not interchangeable (see SHANTI sheet, Section 4, for L4 vs T4 bandwidth analysis). Confirm actual GPU before procurement; L4 24GB is the safer choice for Ollama-served LLM extraction workloads. This VM is scheduled ON only during hearing hours — see Summary sheet for why this should NOT be assumed to time-share with SHANTI's GPU.</t>
  </si>
  <si>
    <t xml:space="preserve">4. Database Requirement (PaaS)</t>
  </si>
  <si>
    <t xml:space="preserve">Database</t>
  </si>
  <si>
    <t xml:space="preserve">Version</t>
  </si>
  <si>
    <t xml:space="preserve">Count</t>
  </si>
  <si>
    <t xml:space="preserve">vCPU</t>
  </si>
  <si>
    <t xml:space="preserve">Current Size (GB)</t>
  </si>
  <si>
    <t xml:space="preserve">Storage Req. (GB)</t>
  </si>
  <si>
    <t xml:space="preserve">IOPS</t>
  </si>
  <si>
    <t xml:space="preserve">PostgreSQL</t>
  </si>
  <si>
    <t xml:space="preserve">16</t>
  </si>
  <si>
    <t xml:space="preserve">RDS PostgreSQL 16 / Azure DB PostgreSQL Flexible (D2ds_v5). pgvector for AI semantic search. RAM not specified in source — tied to managed instance class (~16 GB for D2ds_v5-equivalent).</t>
  </si>
  <si>
    <t xml:space="preserve">Redis</t>
  </si>
  <si>
    <t xml:space="preserve">7</t>
  </si>
  <si>
    <t xml:space="preserve">ElastiCache Redis 7 (cache.t4g.small) / Azure Cache Redis Standard C1. Session, OTP, Celery queue. RAM not specified — cache.t4g.small class ≈ 1.37 GB.</t>
  </si>
  <si>
    <t xml:space="preserve">Dev Env.</t>
  </si>
  <si>
    <t xml:space="preserve">Smaller instance for dev/UAT.</t>
  </si>
  <si>
    <t xml:space="preserve">Streaming replica of Prod. Geo-redundant backup. RPO = 1 hr.</t>
  </si>
  <si>
    <t xml:space="preserve">PROD ONLY — Total</t>
  </si>
  <si>
    <t xml:space="preserve">5. Additional Storage &amp; Backup Requirement</t>
  </si>
  <si>
    <t xml:space="preserve">Type</t>
  </si>
  <si>
    <t xml:space="preserve">Size (GB)</t>
  </si>
  <si>
    <t xml:space="preserve">Object Storage</t>
  </si>
  <si>
    <t xml:space="preserve">Audio recordings + case documents</t>
  </si>
  <si>
    <t xml:space="preserve">Block Storage</t>
  </si>
  <si>
    <t xml:space="preserve">Backup</t>
  </si>
  <si>
    <t xml:space="preserve">1000 (DB) + 1000 (object storage) — OS disk backup mandatory for all VMs/PaaS on NGC</t>
  </si>
  <si>
    <t xml:space="preserve">TOTAL — Additional + Backup Storage (all envs)</t>
  </si>
  <si>
    <t xml:space="preserve">6. Network Services</t>
  </si>
  <si>
    <t xml:space="preserve">Service</t>
  </si>
  <si>
    <t xml:space="preserve">Unit</t>
  </si>
  <si>
    <t xml:space="preserve">Prod</t>
  </si>
  <si>
    <t xml:space="preserve">DR</t>
  </si>
  <si>
    <t xml:space="preserve">Site-to-Site VPN</t>
  </si>
  <si>
    <t xml:space="preserve">Per connection/month</t>
  </si>
  <si>
    <t xml:space="preserve">Primary access path: PHQ intranet ↔ NGC. No public exposure.</t>
  </si>
  <si>
    <t xml:space="preserve">Client-to-Site VPN</t>
  </si>
  <si>
    <t xml:space="preserve">—</t>
  </si>
  <si>
    <t xml:space="preserve">Remote admin/officer access</t>
  </si>
  <si>
    <t xml:space="preserve">CDN</t>
  </si>
  <si>
    <t xml:space="preserve">per GB/month</t>
  </si>
  <si>
    <t xml:space="preserve">Public IP</t>
  </si>
  <si>
    <t xml:space="preserve">IP/month</t>
  </si>
  <si>
    <t xml:space="preserve">N/A</t>
  </si>
  <si>
    <t xml:space="preserve">No direct public IP exposure — access via ALB/CDN</t>
  </si>
  <si>
    <t xml:space="preserve">Load Balancers</t>
  </si>
  <si>
    <t xml:space="preserve">1 (ALB + WAF)</t>
  </si>
  <si>
    <t xml:space="preserve">1 (50% capacity)</t>
  </si>
  <si>
    <t xml:space="preserve">7. Security Services</t>
  </si>
  <si>
    <t xml:space="preserve">Staging/UAT/Dev</t>
  </si>
  <si>
    <t xml:space="preserve">Next-Gen Firewall (NGFW)</t>
  </si>
  <si>
    <t xml:space="preserve">Throughput (Mbps)</t>
  </si>
  <si>
    <t xml:space="preserve">500</t>
  </si>
  <si>
    <t xml:space="preserve">50</t>
  </si>
  <si>
    <t xml:space="preserve">Mandatory for all environments</t>
  </si>
  <si>
    <t xml:space="preserve">Application Load Balancer</t>
  </si>
  <si>
    <t xml:space="preserve">With WAF for public-facing API</t>
  </si>
  <si>
    <t xml:space="preserve">Web Application Firewall</t>
  </si>
  <si>
    <t xml:space="preserve">100</t>
  </si>
  <si>
    <t xml:space="preserve">Not required</t>
  </si>
  <si>
    <t xml:space="preserve">For production public API endpoint</t>
  </si>
  <si>
    <t xml:space="preserve">DDoS Layer 7</t>
  </si>
  <si>
    <t xml:space="preserve">For Prod public endpoint</t>
  </si>
  <si>
    <t xml:space="preserve">Anti-Malware</t>
  </si>
  <si>
    <t xml:space="preserve">License/VM/month</t>
  </si>
  <si>
    <t xml:space="preserve">4 licenses total</t>
  </si>
  <si>
    <t xml:space="preserve">3 Prod VMs + 1 Dev/UAT VM</t>
  </si>
  <si>
    <t xml:space="preserve">Vulnerability Scanning</t>
  </si>
  <si>
    <t xml:space="preserve">Instances/month</t>
  </si>
  <si>
    <t xml:space="preserve">4</t>
  </si>
  <si>
    <t xml:space="preserve">Same count as anti-malware</t>
  </si>
  <si>
    <t xml:space="preserve">SSL Certificate</t>
  </si>
  <si>
    <t xml:space="preserve">Per cert/month</t>
  </si>
  <si>
    <t xml:space="preserve">For .gov.in domain, Prod only</t>
  </si>
  <si>
    <t xml:space="preserve">KMS</t>
  </si>
  <si>
    <t xml:space="preserve">Keys/month</t>
  </si>
  <si>
    <t xml:space="preserve">2</t>
  </si>
  <si>
    <t xml:space="preserve">0</t>
  </si>
  <si>
    <t xml:space="preserve">1 for DB encryption, 1 for object storage</t>
  </si>
  <si>
    <t xml:space="preserve">HSM</t>
  </si>
  <si>
    <t xml:space="preserve">Not required at this scale</t>
  </si>
  <si>
    <t xml:space="preserve">SIEM</t>
  </si>
  <si>
    <t xml:space="preserve">EPS</t>
  </si>
  <si>
    <t xml:space="preserve">20</t>
  </si>
  <si>
    <t xml:space="preserve">8. Disaster Recovery / BCP</t>
  </si>
  <si>
    <t xml:space="preserve">DR capacity</t>
  </si>
  <si>
    <t xml:space="preserve">50% of Prod (warm standby)</t>
  </si>
  <si>
    <t xml:space="preserve">Can raise to 100% active-active if near-zero RTO mandated</t>
  </si>
  <si>
    <t xml:space="preserve">RTO (Recovery Time Objective)</t>
  </si>
  <si>
    <t xml:space="preserve">4 hours</t>
  </si>
  <si>
    <t xml:space="preserve">RPO (Recovery Point Objective)</t>
  </si>
  <si>
    <t xml:space="preserve">1 hour</t>
  </si>
  <si>
    <t xml:space="preserve">Data sync — initial</t>
  </si>
  <si>
    <t xml:space="preserve">1 TB (PostgreSQL ≤1000 GB + object storage)</t>
  </si>
  <si>
    <t xml:space="preserve">Then continuous async delta replication (DB WAL + object-store)</t>
  </si>
  <si>
    <t xml:space="preserve">Data sync — change rate</t>
  </si>
  <si>
    <t xml:space="preserve">~25% QoQ growth</t>
  </si>
  <si>
    <t xml:space="preserve">Backup automation</t>
  </si>
  <si>
    <t xml:space="preserve">Daily automated RDS/Azure DB backups + geo-redundant object storage snapshots</t>
  </si>
  <si>
    <t xml:space="preserve">Risk profile</t>
  </si>
  <si>
    <t xml:space="preserve">Low</t>
  </si>
  <si>
    <t xml:space="preserve">Small dataset, fully cloud-managed services</t>
  </si>
  <si>
    <t xml:space="preserve">Sizing basis: current on-premise PHQ prototype migrating to National Government Cloud (NGC/Meghraj) for production. Concurrent users 40-50, IOPS requirement 10,000 (department aggregate). Deployed as IaaS VMs + PaaS managed DB/cache.</t>
  </si>
  <si>
    <t xml:space="preserve">S.H.A.N.T.I. — Delhi Police Citizen Services Chatbot — Infrastructure Detail</t>
  </si>
  <si>
    <t xml:space="preserve">Source: SHANTI_Infrastructure_Requirements.pdf (29-Jun-2026). REVISED 03-Jul-2026 for the dual-LLM-call workload pattern confirmed in query_pipeline.py — see Section 2. All other figures are as-published in the source document.</t>
  </si>
  <si>
    <t xml:space="preserve">1. Scale Assumptions (Source, Unchanged)</t>
  </si>
  <si>
    <t xml:space="preserve">Estimate</t>
  </si>
  <si>
    <t xml:space="preserve">Basis / Rationale</t>
  </si>
  <si>
    <t xml:space="preserve">Delhi Police website — daily visitors</t>
  </si>
  <si>
    <t xml:space="preserve">30,000 – 80,000</t>
  </si>
  <si>
    <t xml:space="preserve">Typical mid-tier state government portal</t>
  </si>
  <si>
    <t xml:space="preserve">Chatbot adoption rate</t>
  </si>
  <si>
    <t xml:space="preserve">3 – 5%</t>
  </si>
  <si>
    <t xml:space="preserve">Standard for a new, non-mandatory feature</t>
  </si>
  <si>
    <t xml:space="preserve">Daily chatbot sessions</t>
  </si>
  <si>
    <t xml:space="preserve">1,000 – 4,000</t>
  </si>
  <si>
    <t xml:space="preserve">Conservative launch estimate</t>
  </si>
  <si>
    <t xml:space="preserve">Messages per session (avg)</t>
  </si>
  <si>
    <t xml:space="preserve">4 – 6</t>
  </si>
  <si>
    <t xml:space="preserve">Based on current guided flow depth</t>
  </si>
  <si>
    <t xml:space="preserve">Daily messages — working figure</t>
  </si>
  <si>
    <t xml:space="preserve">~15,000</t>
  </si>
  <si>
    <t xml:space="preserve">Used for all calculations in this document</t>
  </si>
  <si>
    <t xml:space="preserve">Peak hour multiplier</t>
  </si>
  <si>
    <t xml:space="preserve">4 – 5x</t>
  </si>
  <si>
    <t xml:space="preserve">Morning 9–11 AM, afternoon 2–4 PM</t>
  </si>
  <si>
    <t xml:space="preserve">Peak messages per minute</t>
  </si>
  <si>
    <t xml:space="preserve">15 – 25</t>
  </si>
  <si>
    <t xml:space="preserve">Derived from daily figure and peak multiplier</t>
  </si>
  <si>
    <t xml:space="preserve">Message payload size (req + resp)</t>
  </si>
  <si>
    <t xml:space="preserve">3 – 8 KB</t>
  </si>
  <si>
    <t xml:space="preserve">Text-only; no media or file transfers</t>
  </si>
  <si>
    <t xml:space="preserve">2. Workload Correction — Dual LLM Call Pattern (Deviation From Source PDF)</t>
  </si>
  <si>
    <t xml:space="preserve">⚠ Every user message triggers TWO sequential LLM calls, not one: decompose_query() then generate_answer() (query_pipeline.py:104, query_pipeline.py:362). The source PDF's Component B sizing (Section 4) implicitly assumed one short call per message — this doubles the real LLM call volume behind the 15,000 msgs/day figure in Section 1.</t>
  </si>
  <si>
    <t xml:space="preserve">⚠ The generate_answer() call also carries a real context load: merge_and_diversify_context() fills up to a 3,500-token budget of retrieved chunks, plus prompt scaffolding — so each generation call is realistically prompting with ~4,000–4,500 tokens, not a short message. This is heavier than the 'quick citizen query' assumption baked into the source PDF's 16GB-card KV-cache sizing.</t>
  </si>
  <si>
    <t xml:space="preserve">Net effect: Component B (LLM server, Section 4) and the Recommended VM Configuration (Section 5) below are re-sized for 2x real LLM calls/message at ~4,000–4,500 tokens of context per generation call. Sections 1, 3, and 6–11 are unchanged from the source PDF — the correction only touches GPU selection, not vCPU/RAM/storage/DB/OS/network figures.</t>
  </si>
  <si>
    <t xml:space="preserve">3. Compute Requirement — Component A: Application Server (FastAPI + IndicBERTv2)</t>
  </si>
  <si>
    <t xml:space="preserve">IndicBERTv2 is loaded into RAM at startup and held resident. Every incoming request triggers one forward pass for semantic embedding (unaffected by the dual-LLM-call correction — embedding runs once per message, not twice). FastAPI is async and handles concurrent requests efficiently with multiple worker processes.</t>
  </si>
  <si>
    <t xml:space="preserve">Resource</t>
  </si>
  <si>
    <t xml:space="preserve">Requirement</t>
  </si>
  <si>
    <t xml:space="preserve">Rationale</t>
  </si>
  <si>
    <t xml:space="preserve">8 cores</t>
  </si>
  <si>
    <t xml:space="preserve">FastAPI async workers; handles 20–30 concurrent requests comfortably</t>
  </si>
  <si>
    <t xml:space="preserve">RAM</t>
  </si>
  <si>
    <t xml:space="preserve">24 GB</t>
  </si>
  <si>
    <t xml:space="preserve">IndicBERTv2 ~1.2GB + PyTorch overhead ~4GB + worker processes ~4GB + OS/headroom ~4GB</t>
  </si>
  <si>
    <t xml:space="preserve">GPU</t>
  </si>
  <si>
    <t xml:space="preserve">Embedding inference at 15–25 RPM peak runs acceptably on CPU</t>
  </si>
  <si>
    <t xml:space="preserve">4. Compute Requirement — Component B: LLM Server (llama.cpp + Qwen2.5-7B-Instruct) — REVISED</t>
  </si>
  <si>
    <t xml:space="preserve">This is the critical performance bottleneck. The LLM generates one token at a time and cannot be trivially parallelised beyond the n_parallel slots configured in llama.cpp. GPU inference is mandatory for acceptable response latency in a citizen-facing deployment — now doubly so given the 2x call load per message established in Section 2.</t>
  </si>
  <si>
    <t xml:space="preserve">llama.cpp uses CPU for tokenisation and pre/post-processing even in GPU mode. Unchanged from source.</t>
  </si>
  <si>
    <t xml:space="preserve">32 GB</t>
  </si>
  <si>
    <t xml:space="preserve">~16GB for model layers offloaded to system RAM + OS overhead + buffer. Unchanged from source.</t>
  </si>
  <si>
    <t xml:space="preserve">GPU / VRAM sizing — recalculated for the corrected workload (n_parallel raised from 4 to 8 to absorb the 2x call load, ~4,000–4,500 token context per generation call):</t>
  </si>
  <si>
    <t xml:space="preserve">VRAM Component</t>
  </si>
  <si>
    <t xml:space="preserve">Size</t>
  </si>
  <si>
    <t xml:space="preserve">Notes</t>
  </si>
  <si>
    <t xml:space="preserve">Qwen2.5-7B-Instruct, Q4_K_M GGUF</t>
  </si>
  <si>
    <t xml:space="preserve">~4.4 GB</t>
  </si>
  <si>
    <t xml:space="preserve">Base model weights, VRAM-resident</t>
  </si>
  <si>
    <t xml:space="preserve">KV cache, ~4,500 token context, n_parallel=4 (fp16)</t>
  </si>
  <si>
    <t xml:space="preserve">~1 – 1.5 GB</t>
  </si>
  <si>
    <t xml:space="preserve">Source PDF's original sizing assumption — short prompt, n_parallel=4</t>
  </si>
  <si>
    <t xml:space="preserve">KV cache, same context, n_parallel=8 (to absorb the 2x call load)</t>
  </si>
  <si>
    <t xml:space="preserve">~2.5 – 3 GB</t>
  </si>
  <si>
    <t xml:space="preserve">Needed to keep peak latency in check once decompose_query()+generate_answer() are counted as 2 calls/message</t>
  </si>
  <si>
    <t xml:space="preserve">CUDA runtime / engine overhead</t>
  </si>
  <si>
    <t xml:space="preserve">llama.cpp + CUDA context</t>
  </si>
  <si>
    <t xml:space="preserve">Realistic total, n_parallel=8</t>
  </si>
  <si>
    <t xml:space="preserve">~9 – 10 GB</t>
  </si>
  <si>
    <t xml:space="preserve">Comfortably fits in a 16GB card with room to spare</t>
  </si>
  <si>
    <t xml:space="preserve">The model itself comfortably fits in 16GB — the source PDF's 16GB (T4) recommendation is not wrong on VRAM capacity. But capacity is not the same as speed: token-generation speed is bounded by memory bandwidth, not VRAM size. That is where this sheet deviates from the source PDF's GPU choice.</t>
  </si>
  <si>
    <t xml:space="preserve">VRAM</t>
  </si>
  <si>
    <t xml:space="preserve">Mem. Bandwidth</t>
  </si>
  <si>
    <t xml:space="preserve">T4 (source PDF's option)</t>
  </si>
  <si>
    <t xml:space="preserve">16 GB</t>
  </si>
  <si>
    <t xml:space="preserve">~320 GB/s</t>
  </si>
  <si>
    <t xml:space="preserve">Older (Turing, 2018). Runs the workload, but noticeably slower tokens/sec — risky against the p95 &gt; 8s latency alert threshold (Section 10) once 2x LLM calls/message are counted at peak load.</t>
  </si>
  <si>
    <t xml:space="preserve">A10G</t>
  </si>
  <si>
    <t xml:space="preserve">~600 GB/s</t>
  </si>
  <si>
    <t xml:space="preserve">Nearly 2x T4's bandwidth. Comfortable headroom for higher n_parallel and longer contexts as the corpus grows.</t>
  </si>
  <si>
    <t xml:space="preserve">L4</t>
  </si>
  <si>
    <t xml:space="preserve">~300 GB/s raw, but Ada-generation efficiency</t>
  </si>
  <si>
    <t xml:space="preserve">Much better quantized-inference efficiency than T4 despite a similar raw bandwidth number. Best perf/cost for this workload (small quantized model, INT4/INT8-friendly); increasingly the default GPU for LLM inference on major clouds.</t>
  </si>
  <si>
    <t xml:space="preserve">A100 40GB</t>
  </si>
  <si>
    <t xml:space="preserve">40 GB</t>
  </si>
  <si>
    <t xml:space="preserve">~1.5 TB/s</t>
  </si>
  <si>
    <t xml:space="preserve">Overkill at 15,000 msgs/day; only justified once the source PDF's own 50,000 msgs/day re-scaling trigger (Section 11) is crossed.</t>
  </si>
  <si>
    <t xml:space="preserve">✓ RECOMMENDATION: 1x NVIDIA A10G or L4, 24GB VRAM — NOT the T4/16GB in the source PDF. Same logic as the source PDF's own 'GPU inference is non-negotiable' stance: the real workload is already 2x heavier via query decomposition, so buy the bandwidth headroom now rather than re-provisioning the moment adoption ticks up.</t>
  </si>
  <si>
    <t xml:space="preserve">5. Recommended VM Configuration — REVISED</t>
  </si>
  <si>
    <t xml:space="preserve">VM</t>
  </si>
  <si>
    <t xml:space="preserve">Role</t>
  </si>
  <si>
    <t xml:space="preserve">RAM (GB)</t>
  </si>
  <si>
    <t xml:space="preserve">VM-1</t>
  </si>
  <si>
    <t xml:space="preserve">FastAPI + IndicBERTv2 + Nginx + PostgreSQL + Redis</t>
  </si>
  <si>
    <t xml:space="preserve">VM-2</t>
  </si>
  <si>
    <t xml:space="preserve">llama.cpp LLM server (Qwen2.5-7B-Instruct)</t>
  </si>
  <si>
    <t xml:space="preserve">1x A10G or L4 — 24GB VRAM</t>
  </si>
  <si>
    <t xml:space="preserve">TOTAL</t>
  </si>
  <si>
    <t xml:space="preserve">24GB VRAM (1x GPU, revised)</t>
  </si>
  <si>
    <t xml:space="preserve">Alternative (per source PDF): single VM with 16 vCPU, 64GB RAM, 1x A10G/L4 24GB — simpler ops but single point of failure. Two-VM setup is preferred for independent scaling and maintenance without full downtime.</t>
  </si>
  <si>
    <t xml:space="preserve">6. Storage Requirement (Source, Unchanged — GB Figures Not Affected by the Correction)</t>
  </si>
  <si>
    <t xml:space="preserve">Item</t>
  </si>
  <si>
    <t xml:space="preserve">OS — Ubuntu Server 22.04 LTS</t>
  </si>
  <si>
    <t xml:space="preserve">Base system installation</t>
  </si>
  <si>
    <t xml:space="preserve">Python 3.11 + venv + dependencies (PyTorch, Transformers, FastAPI)</t>
  </si>
  <si>
    <t xml:space="preserve">PyTorch CUDA build alone ~2.5GB</t>
  </si>
  <si>
    <t xml:space="preserve">IndicBERTv2 model (weights + tokenizer)</t>
  </si>
  <si>
    <t xml:space="preserve">Loaded from local /model directory at startup</t>
  </si>
  <si>
    <t xml:space="preserve">Application code + services.json + FAISS index</t>
  </si>
  <si>
    <t xml:space="preserve">Negligible; included for completeness</t>
  </si>
  <si>
    <t xml:space="preserve">PostgreSQL feedback database (3-yr growth)</t>
  </si>
  <si>
    <t xml:space="preserve">~15,000 sessions/day x 365 x 3 yrs x ~300 bytes/record</t>
  </si>
  <si>
    <t xml:space="preserve">Nginx access logs (1yr, rotated + compressed)</t>
  </si>
  <si>
    <t xml:space="preserve">~2KB/request x 15,000/day x 365 days</t>
  </si>
  <si>
    <t xml:space="preserve">Application + system logs</t>
  </si>
  <si>
    <t xml:space="preserve">Rotating w/ logrotate, compressed after 7 days. Expect a modest increase vs. source PDF since 2x LLM calls/message roughly doubles per-message log lines — still well within the 100GB provisioned envelope.</t>
  </si>
  <si>
    <t xml:space="preserve">System swap</t>
  </si>
  <si>
    <t xml:space="preserve">Required for CPU-offload spikes during LLM inference</t>
  </si>
  <si>
    <t xml:space="preserve">Qwen2.5-7B-Instruct Q4_K_M GGUF</t>
  </si>
  <si>
    <t xml:space="preserve">Served by llama.cpp; single file</t>
  </si>
  <si>
    <t xml:space="preserve">OS + CUDA 12.1 + cuDNN + Python/PyTorch(CUDA) + llama.cpp build</t>
  </si>
  <si>
    <t xml:space="preserve">~29.5 (not itemized in source)</t>
  </si>
  <si>
    <t xml:space="preserve">Balance of the ~34GB VM-2 raw total; source PDF does not break this out further</t>
  </si>
  <si>
    <t xml:space="preserve">Total — VM-1 (App server), provisioned</t>
  </si>
  <si>
    <t xml:space="preserve">Provision 100GB NVMe SSD for headroom &amp; growth (raw usage ~55GB)</t>
  </si>
  <si>
    <t xml:space="preserve">Total — VM-2 (LLM server), provisioned</t>
  </si>
  <si>
    <t xml:space="preserve">Provision 80GB NVMe SSD (raw usage ~34GB)</t>
  </si>
  <si>
    <t xml:space="preserve">An additional 50GB of object storage (e.g. NIC S3-compatible) is recommended for database backups with 30-day retention. Use NVMe SSD on both VMs — spinning disk (HDD) increases llama.cpp startup time from ~8s to ~45s and degrades FAISS index load performance.</t>
  </si>
  <si>
    <t xml:space="preserve">7. Database Requirement</t>
  </si>
  <si>
    <t xml:space="preserve">The current implementation uses flat JSON files for feedback and session data. These are not suitable for a production citizen-facing deployment. The following database components are required.</t>
  </si>
  <si>
    <t xml:space="preserve">Solution</t>
  </si>
  <si>
    <t xml:space="preserve">Sizing</t>
  </si>
  <si>
    <t xml:space="preserve">Feedback &amp; sessions</t>
  </si>
  <si>
    <t xml:space="preserve">PostgreSQL 15</t>
  </si>
  <si>
    <t xml:space="preserve">Structured storage of user feedback, session metadata, and audit logs</t>
  </si>
  <si>
    <t xml:space="preserve">2 vCPU, 4GB RAM; ~5GB over 3 years. Can run on VM-1 — no dedicated DB VM needed at this scale (already inside VM-1's 8 vCPU / 24GB envelope).</t>
  </si>
  <si>
    <t xml:space="preserve">Rate limiting state</t>
  </si>
  <si>
    <t xml:space="preserve">Redis 7</t>
  </si>
  <si>
    <t xml:space="preserve">In-memory per-IP request counting with automatic key expiry</t>
  </si>
  <si>
    <t xml:space="preserve">512MB RAM; negligible disk</t>
  </si>
  <si>
    <t xml:space="preserve">FAISS index</t>
  </si>
  <si>
    <t xml:space="preserve">File-based (retain)</t>
  </si>
  <si>
    <t xml:space="preserve">Read-only at runtime; loaded once at startup; no DB overhead needed</t>
  </si>
  <si>
    <t xml:space="preserve">~50MB file</t>
  </si>
  <si>
    <t xml:space="preserve">services.json catalog</t>
  </si>
  <si>
    <t xml:space="preserve">45 service records; loaded once at startup; updated via deployment</t>
  </si>
  <si>
    <t xml:space="preserve">~50KB file</t>
  </si>
  <si>
    <t xml:space="preserve">Operational notes: Daily pg_dump to object storage with 30-day retention is sufficient; no replication required at launch. Connection pooling via PgBouncer recommended once daily sessions exceed 5,000.</t>
  </si>
  <si>
    <t xml:space="preserve">8. Operating System &amp; Software Dependencies</t>
  </si>
  <si>
    <t xml:space="preserve">Operating System</t>
  </si>
  <si>
    <t xml:space="preserve">Ubuntu Server 22.04 LTS</t>
  </si>
  <si>
    <t xml:space="preserve">22.04</t>
  </si>
  <si>
    <t xml:space="preserve">5-year LTS; NIC Meghraj compatible; government-standard Linux</t>
  </si>
  <si>
    <t xml:space="preserve">Runtime</t>
  </si>
  <si>
    <t xml:space="preserve">Python</t>
  </si>
  <si>
    <t xml:space="preserve">3.11.x</t>
  </si>
  <si>
    <t xml:space="preserve">Required for FastAPI, Transformers, and all ML dependencies</t>
  </si>
  <si>
    <t xml:space="preserve">GPU / CUDA</t>
  </si>
  <si>
    <t xml:space="preserve">CUDA Toolkit</t>
  </si>
  <si>
    <t xml:space="preserve">12.1</t>
  </si>
  <si>
    <t xml:space="preserve">Required on VM-2 for GPU-accelerated LLM inference</t>
  </si>
  <si>
    <t xml:space="preserve">cuDNN</t>
  </si>
  <si>
    <t xml:space="preserve">8.9.x</t>
  </si>
  <si>
    <t xml:space="preserve">Deep learning primitives; required by PyTorch CUDA build</t>
  </si>
  <si>
    <t xml:space="preserve">ML Framework</t>
  </si>
  <si>
    <t xml:space="preserve">PyTorch (CUDA)</t>
  </si>
  <si>
    <t xml:space="preserve">2.2.x</t>
  </si>
  <si>
    <t xml:space="preserve">Runs IndicBERTv2 via HuggingFace Transformers</t>
  </si>
  <si>
    <t xml:space="preserve">LLM Server</t>
  </si>
  <si>
    <t xml:space="preserve">llama.cpp</t>
  </si>
  <si>
    <t xml:space="preserve">Latest stable</t>
  </si>
  <si>
    <t xml:space="preserve">Compiled with LLAMA_CUDA=1; serves Qwen2.5-7B on GPU</t>
  </si>
  <si>
    <t xml:space="preserve">Web Framework</t>
  </si>
  <si>
    <t xml:space="preserve">FastAPI</t>
  </si>
  <si>
    <t xml:space="preserve">0.111.x</t>
  </si>
  <si>
    <t xml:space="preserve">ASGI framework; runs via Uvicorn workers</t>
  </si>
  <si>
    <t xml:space="preserve">ASGI Server</t>
  </si>
  <si>
    <t xml:space="preserve">Uvicorn</t>
  </si>
  <si>
    <t xml:space="preserve">0.29.x</t>
  </si>
  <si>
    <t xml:space="preserve">4 workers recommended; managed by systemd</t>
  </si>
  <si>
    <t xml:space="preserve">Reverse Proxy</t>
  </si>
  <si>
    <t xml:space="preserve">Nginx</t>
  </si>
  <si>
    <t xml:space="preserve">1.24.x</t>
  </si>
  <si>
    <t xml:space="preserve">SSL termination, rate limiting, static file serving, upstream proxy</t>
  </si>
  <si>
    <t xml:space="preserve">TLS Certificates</t>
  </si>
  <si>
    <t xml:space="preserve">Certbot / Let's Encrypt</t>
  </si>
  <si>
    <t xml:space="preserve">Latest</t>
  </si>
  <si>
    <t xml:space="preserve">Or NIC CA certificate if hosted under gov.in domain</t>
  </si>
  <si>
    <t xml:space="preserve">15.x</t>
  </si>
  <si>
    <t xml:space="preserve">Feedback storage; managed by systemd</t>
  </si>
  <si>
    <t xml:space="preserve">Cache / Rate Limit</t>
  </si>
  <si>
    <t xml:space="preserve">7.x</t>
  </si>
  <si>
    <t xml:space="preserve">In-memory rate limiting state; optional session cache</t>
  </si>
  <si>
    <t xml:space="preserve">Service Manager</t>
  </si>
  <si>
    <t xml:space="preserve">systemd</t>
  </si>
  <si>
    <t xml:space="preserve">OS default</t>
  </si>
  <si>
    <t xml:space="preserve">Manages FastAPI, llama.cpp, Nginx, PostgreSQL, Redis auto-restart</t>
  </si>
  <si>
    <t xml:space="preserve">Security</t>
  </si>
  <si>
    <t xml:space="preserve">Fail2ban</t>
  </si>
  <si>
    <t xml:space="preserve">SSH brute-force protection; ban after 5 failed attempts</t>
  </si>
  <si>
    <t xml:space="preserve">UFW (firewall)</t>
  </si>
  <si>
    <t xml:space="preserve">Allow only 22 (VPN-restricted), 80, 443; deny all others</t>
  </si>
  <si>
    <t xml:space="preserve">Monitoring</t>
  </si>
  <si>
    <t xml:space="preserve">Prometheus + Grafana</t>
  </si>
  <si>
    <t xml:space="preserve">GPU metrics, request latency, disk, memory; optional but recommended</t>
  </si>
  <si>
    <t xml:space="preserve">9. Network, Ports, Bandwidth &amp; Security</t>
  </si>
  <si>
    <t xml:space="preserve">Port</t>
  </si>
  <si>
    <t xml:space="preserve">Exposed To</t>
  </si>
  <si>
    <t xml:space="preserve">Rule</t>
  </si>
  <si>
    <t xml:space="preserve">443</t>
  </si>
  <si>
    <t xml:space="preserve">Nginx — HTTPS</t>
  </si>
  <si>
    <t xml:space="preserve">Public internet</t>
  </si>
  <si>
    <t xml:space="preserve">Primary citizen-facing endpoint; TLS 1.2+ only</t>
  </si>
  <si>
    <t xml:space="preserve">80</t>
  </si>
  <si>
    <t xml:space="preserve">Nginx — HTTP</t>
  </si>
  <si>
    <t xml:space="preserve">Redirect to 443 only; no content served over HTTP</t>
  </si>
  <si>
    <t xml:space="preserve">8000</t>
  </si>
  <si>
    <t xml:space="preserve">FastAPI / Uvicorn</t>
  </si>
  <si>
    <t xml:space="preserve">VM-1 internal only</t>
  </si>
  <si>
    <t xml:space="preserve">Never exposed to internet; Nginx proxies to this</t>
  </si>
  <si>
    <t xml:space="preserve">8080</t>
  </si>
  <si>
    <t xml:space="preserve">llama.cpp LLM server</t>
  </si>
  <si>
    <t xml:space="preserve">VM-1 to VM-2 internal subnet only</t>
  </si>
  <si>
    <t xml:space="preserve">CRITICAL: must be firewalled; exposes raw LLM access if public</t>
  </si>
  <si>
    <t xml:space="preserve">5432</t>
  </si>
  <si>
    <t xml:space="preserve">Loopback or VPC internal; no external access</t>
  </si>
  <si>
    <t xml:space="preserve">6379</t>
  </si>
  <si>
    <t xml:space="preserve">Loopback only; bind 127.0.0.1 in redis.conf</t>
  </si>
  <si>
    <t xml:space="preserve">22</t>
  </si>
  <si>
    <t xml:space="preserve">SSH</t>
  </si>
  <si>
    <t xml:space="preserve">VPN / jump host only</t>
  </si>
  <si>
    <t xml:space="preserve">Key-based auth; root login disabled; restricted to admin IP range</t>
  </si>
  <si>
    <t xml:space="preserve">Traffic Type</t>
  </si>
  <si>
    <t xml:space="preserve">Daily Volume</t>
  </si>
  <si>
    <t xml:space="preserve">Monthly Volume</t>
  </si>
  <si>
    <t xml:space="preserve">Inbound — user messages (~1KB avg)</t>
  </si>
  <si>
    <t xml:space="preserve">~15 MB</t>
  </si>
  <si>
    <t xml:space="preserve">~450 MB</t>
  </si>
  <si>
    <t xml:space="preserve">Outbound — bot replies + service cards (~5KB avg)</t>
  </si>
  <si>
    <t xml:space="preserve">~75 MB</t>
  </si>
  <si>
    <t xml:space="preserve">~2.25 GB</t>
  </si>
  <si>
    <t xml:space="preserve">Total citizen-facing traffic</t>
  </si>
  <si>
    <t xml:space="preserve">~90 MB/day</t>
  </si>
  <si>
    <t xml:space="preserve">~3 GB/month</t>
  </si>
  <si>
    <t xml:space="preserve">Internal VM-1 to VM-2 (LLM requests)</t>
  </si>
  <si>
    <t xml:space="preserve">~30 MB</t>
  </si>
  <si>
    <t xml:space="preserve">~900 MB</t>
  </si>
  <si>
    <t xml:space="preserve">Bandwidth is negligible for this system — the bottleneck is compute (LLM inference latency), not network throughput. A 100 Mbps uplink is far more than sufficient. No CDN is required for the API; a CDN may be used for the frontend static assets.</t>
  </si>
  <si>
    <t xml:space="preserve">Security Requirement</t>
  </si>
  <si>
    <t xml:space="preserve">Implementation</t>
  </si>
  <si>
    <t xml:space="preserve">TLS enforcement</t>
  </si>
  <si>
    <t xml:space="preserve">TLS 1.2+ only; TLS 1.0/1.1 disabled in Nginx; HSTS header enabled</t>
  </si>
  <si>
    <t xml:space="preserve">Rate limiting</t>
  </si>
  <si>
    <t xml:space="preserve">Nginx: 10 req/min per IP on /chat and /query; Redis-backed for accuracy</t>
  </si>
  <si>
    <t xml:space="preserve">Input length cap</t>
  </si>
  <si>
    <t xml:space="preserve">Enforced in FastAPI Pydantic models; additionally nginx client_max_body_size 16k</t>
  </si>
  <si>
    <t xml:space="preserve">PII in logs</t>
  </si>
  <si>
    <t xml:space="preserve">Nginx must not log request bodies; application logs scrubbed of message content</t>
  </si>
  <si>
    <t xml:space="preserve">CORS policy</t>
  </si>
  <si>
    <t xml:space="preserve">Lock allow_origins to production domain only; remove wildcard '*' from current config</t>
  </si>
  <si>
    <t xml:space="preserve">ModSecurity + OWASP Core Rule Set on Nginx; or cloud WAF via NIC Meghraj</t>
  </si>
  <si>
    <t xml:space="preserve">DDoS mitigation</t>
  </si>
  <si>
    <t xml:space="preserve">Nginx rate limiting + NIC Meghraj CDN / Cloudflare in front of origin</t>
  </si>
  <si>
    <t xml:space="preserve">Secrets management</t>
  </si>
  <si>
    <t xml:space="preserve">All credentials in environment variables or HashiCorp Vault; never in source code</t>
  </si>
  <si>
    <t xml:space="preserve">SSH hardening</t>
  </si>
  <si>
    <t xml:space="preserve">Key-based auth only; root login disabled; port 22 restricted to VPN IP range</t>
  </si>
  <si>
    <t xml:space="preserve">OS patching</t>
  </si>
  <si>
    <t xml:space="preserve">unattended-upgrades for security patches; kernel updates on scheduled maintenance window</t>
  </si>
  <si>
    <t xml:space="preserve">Audit logging</t>
  </si>
  <si>
    <t xml:space="preserve">All /chat and /query requests logged (timestamp, session_id, response_time) — no message content</t>
  </si>
  <si>
    <t xml:space="preserve">10. Backup, Monitoring &amp; Operational Requirements</t>
  </si>
  <si>
    <t xml:space="preserve">Data</t>
  </si>
  <si>
    <t xml:space="preserve">Frequency</t>
  </si>
  <si>
    <t xml:space="preserve">Retention</t>
  </si>
  <si>
    <t xml:space="preserve">Method</t>
  </si>
  <si>
    <t xml:space="preserve">PostgreSQL (feedback / sessions)</t>
  </si>
  <si>
    <t xml:space="preserve">Daily</t>
  </si>
  <si>
    <t xml:space="preserve">30 days</t>
  </si>
  <si>
    <t xml:space="preserve">pg_dump to object storage (NIC S3 / MinIO)</t>
  </si>
  <si>
    <t xml:space="preserve">services.json + FAISS index</t>
  </si>
  <si>
    <t xml:space="preserve">On every change</t>
  </si>
  <si>
    <t xml:space="preserve">10 versions</t>
  </si>
  <si>
    <t xml:space="preserve">Git repository or versioned object storage</t>
  </si>
  <si>
    <t xml:space="preserve">VM system snapshots</t>
  </si>
  <si>
    <t xml:space="preserve">Weekly</t>
  </si>
  <si>
    <t xml:space="preserve">4 snapshots</t>
  </si>
  <si>
    <t xml:space="preserve">Hypervisor / cloud snapshot</t>
  </si>
  <si>
    <t xml:space="preserve">Nginx + application logs</t>
  </si>
  <si>
    <t xml:space="preserve">Daily rotation</t>
  </si>
  <si>
    <t xml:space="preserve">90 days</t>
  </si>
  <si>
    <t xml:space="preserve">logrotate with gzip compression</t>
  </si>
  <si>
    <t xml:space="preserve">Metric</t>
  </si>
  <si>
    <t xml:space="preserve">Tool</t>
  </si>
  <si>
    <t xml:space="preserve">Alert Threshold</t>
  </si>
  <si>
    <t xml:space="preserve">Endpoint uptime</t>
  </si>
  <si>
    <t xml:space="preserve">Uptime Kuma / NIC monitoring</t>
  </si>
  <si>
    <t xml:space="preserve">Alert if / returns non-200 for &gt; 60 seconds</t>
  </si>
  <si>
    <t xml:space="preserve">LLM response latency (p95)</t>
  </si>
  <si>
    <t xml:space="preserve">FastAPI middleware + Prometheus</t>
  </si>
  <si>
    <t xml:space="preserve">Alert if p95 &gt; 8 seconds over any 5-minute window — the A10G/L4 upgrade in Section 4 exists specifically to protect this threshold under the 2x call load</t>
  </si>
  <si>
    <t xml:space="preserve">GPU VRAM utilisation</t>
  </si>
  <si>
    <t xml:space="preserve">nvidia-smi + node_exporter + Grafana</t>
  </si>
  <si>
    <t xml:space="preserve">Alert if VRAM &gt; 90% sustained for &gt; 2 minutes</t>
  </si>
  <si>
    <t xml:space="preserve">Disk usage</t>
  </si>
  <si>
    <t xml:space="preserve">node_exporter + Grafana</t>
  </si>
  <si>
    <t xml:space="preserve">Alert at 80% on any volume</t>
  </si>
  <si>
    <t xml:space="preserve">RAM usage</t>
  </si>
  <si>
    <t xml:space="preserve">Alert if available RAM &lt; 4GB</t>
  </si>
  <si>
    <t xml:space="preserve">Rate limit hit rate</t>
  </si>
  <si>
    <t xml:space="preserve">Nginx log analysis</t>
  </si>
  <si>
    <t xml:space="preserve">Investigate if &gt; 5% of requests are rate-limited</t>
  </si>
  <si>
    <t xml:space="preserve">11. Deployment Environment Options</t>
  </si>
  <si>
    <t xml:space="preserve">Option</t>
  </si>
  <si>
    <t xml:space="preserve">Suitability</t>
  </si>
  <si>
    <t xml:space="preserve">NIC Meghraj (GI Cloud)</t>
  </si>
  <si>
    <t xml:space="preserve">Preferred</t>
  </si>
  <si>
    <t xml:space="preserve">Government-standard; GPU VMs available; data sovereignty guaranteed; meets MeitY guidelines</t>
  </si>
  <si>
    <t xml:space="preserve">AWS / Azure India Region</t>
  </si>
  <si>
    <t xml:space="preserve">Viable</t>
  </si>
  <si>
    <t xml:space="preserve">If NIC GPU capacity unavailable; ensure data residency in ap-south-1 / centralindia</t>
  </si>
  <si>
    <t xml:space="preserve">On-premise (Delhi Police DC)</t>
  </si>
  <si>
    <t xml:space="preserve">Possible</t>
  </si>
  <si>
    <t xml:space="preserve">Requires physical GPU hardware procurement; longer lead time; full control over data</t>
  </si>
  <si>
    <t xml:space="preserve">12. Summary — Infrastructure at a Glance (REVISED)</t>
  </si>
  <si>
    <t xml:space="preserve">Specification</t>
  </si>
  <si>
    <t xml:space="preserve">VMs</t>
  </si>
  <si>
    <t xml:space="preserve">2 (Application server + LLM server) or 1 combined</t>
  </si>
  <si>
    <t xml:space="preserve">vCPU — total</t>
  </si>
  <si>
    <t xml:space="preserve">16 cores (8 + 8)</t>
  </si>
  <si>
    <t xml:space="preserve">RAM — total</t>
  </si>
  <si>
    <t xml:space="preserve">56 GB (24 GB + 32 GB)</t>
  </si>
  <si>
    <t xml:space="preserve">GPU (mandatory)</t>
  </si>
  <si>
    <t xml:space="preserve">1x NVIDIA A10G or L4 — 24GB VRAM</t>
  </si>
  <si>
    <t xml:space="preserve">REVISED from source PDF's '1x A10G or T4 — 16GB VRAM'. See Section 2 &amp; 4 for why.</t>
  </si>
  <si>
    <t xml:space="preserve">Storage — VM-1 (App)</t>
  </si>
  <si>
    <t xml:space="preserve">100 GB NVMe SSD</t>
  </si>
  <si>
    <t xml:space="preserve">Storage — VM-2 (LLM)</t>
  </si>
  <si>
    <t xml:space="preserve">80 GB NVMe SSD</t>
  </si>
  <si>
    <t xml:space="preserve">Backup object storage</t>
  </si>
  <si>
    <t xml:space="preserve">~50 GB (30-day PostgreSQL retention + snapshots)</t>
  </si>
  <si>
    <t xml:space="preserve">Primary database</t>
  </si>
  <si>
    <t xml:space="preserve">Cache / rate limiting</t>
  </si>
  <si>
    <t xml:space="preserve">Operating system</t>
  </si>
  <si>
    <t xml:space="preserve">Bandwidth</t>
  </si>
  <si>
    <t xml:space="preserve">~3 GB/month outbound (negligible; compute-bound not network-bound)</t>
  </si>
  <si>
    <t xml:space="preserve">Public ports</t>
  </si>
  <si>
    <t xml:space="preserve">443 (HTTPS) and 80 (HTTP redirect) only</t>
  </si>
  <si>
    <t xml:space="preserve">Recommended hosting</t>
  </si>
  <si>
    <t xml:space="preserve">NIC Meghraj (GI Cloud) — government-standard, data-sovereign</t>
  </si>
  <si>
    <t xml:space="preserve">Scale basis</t>
  </si>
  <si>
    <t xml:space="preserve">15,000 messages/day; 15–25 peak RPM; re-size at 50,000+ messages/day</t>
  </si>
  <si>
    <t xml:space="preserve">DEVIATION FROM SOURCE DOCUMENT (SHANTI_Infrastructure_Requirements.pdf, 29-Jun-2026): this sheet changes exactly one thing — the VM-2 GPU spec, upgraded from '1x A10G or T4, 16GB VRAM' to '1x A10G or L4, 24GB VRAM' (Sections 2, 4, 5, 12), because the real workload is 2x LLM calls/message with ~4,000–4,500 token generation context, not the single short-call assumption the source doc's 16GB sizing was built on. All other figures (vCPU, RAM, storage, database, OS, network, security, backup, monitoring, deployment options) are exactly as published in the source document. All estimates are based on a 15,000 messages/day launch figure; infrastructure should be re-assessed when daily message volume consistently exceeds 50,000 — at that point, horizontal scaling of the application server and a second GPU node for the LLM become necessary. The LLM server is the sole performance bottleneck at all realistic traffic levels for this deployment.</t>
  </si>
  <si>
    <t xml:space="preserve">Conference Hall Booking &amp; Management System — Infrastructure Detail</t>
  </si>
  <si>
    <t xml:space="preserve">Source: Infrastructure Requirements Report — Conference Hall Booking &amp; Management System, Delhi Police (prepared 30-Jun-2026). Compiled 03-Jul-2026, unchanged from source.</t>
  </si>
  <si>
    <t xml:space="preserve">1. Application Profile &amp; Deployment Scope</t>
  </si>
  <si>
    <t xml:space="preserve">Architecture</t>
  </si>
  <si>
    <t xml:space="preserve">2-Tier (separated application &amp; database servers)</t>
  </si>
  <si>
    <t xml:space="preserve">Deployment scope classification</t>
  </si>
  <si>
    <t xml:space="preserve">Internal</t>
  </si>
  <si>
    <t xml:space="preserve">~15–20 halls, hundreds of department internal users only</t>
  </si>
  <si>
    <t xml:space="preserve">No</t>
  </si>
  <si>
    <t xml:space="preserve">Ports 80/443 open to internal network only — not the public internet</t>
  </si>
  <si>
    <t xml:space="preserve">Frontend</t>
  </si>
  <si>
    <t xml:space="preserve">React (compiled static files, Vite build)</t>
  </si>
  <si>
    <t xml:space="preserve">Served by Nginx / IIS</t>
  </si>
  <si>
    <t xml:space="preserve">Backend</t>
  </si>
  <si>
    <t xml:space="preserve">Node.js API</t>
  </si>
  <si>
    <t xml:space="preserve">Hosted on VM-01 alongside the frontend</t>
  </si>
  <si>
    <t xml:space="preserve">2. Compute — Virtual Machines</t>
  </si>
  <si>
    <t xml:space="preserve">Storage (GB SSD)</t>
  </si>
  <si>
    <t xml:space="preserve">VM-01</t>
  </si>
  <si>
    <t xml:space="preserve">Application Server — hosts React frontend (static files) &amp; Node.js backend API</t>
  </si>
  <si>
    <t xml:space="preserve">VM-02</t>
  </si>
  <si>
    <t xml:space="preserve">Database Server — dedicated PostgreSQL instance &amp; automated backup storage</t>
  </si>
  <si>
    <t xml:space="preserve">Rationale for separation: isolating the database on a dedicated VM ensures that traffic spikes or application-level issues on VM-01 cannot exhaust database resources, preventing cascading failures.</t>
  </si>
  <si>
    <t xml:space="preserve">3. Storage Allocation Summary (Total: 150 GB)</t>
  </si>
  <si>
    <t xml:space="preserve">Capacity</t>
  </si>
  <si>
    <t xml:space="preserve">Usage Breakdown</t>
  </si>
  <si>
    <t xml:space="preserve">VM-01 (App Server) SSD</t>
  </si>
  <si>
    <t xml:space="preserve">50 GB</t>
  </si>
  <si>
    <t xml:space="preserve">OS installation, Node.js runtime, application code (&lt;500MB), PM2 process logs, Nginx access/error logs accumulated over time.</t>
  </si>
  <si>
    <t xml:space="preserve">VM-02 (DB Server) SSD</t>
  </si>
  <si>
    <t xml:space="preserve">100 GB</t>
  </si>
  <si>
    <t xml:space="preserve">OS installation, PostgreSQL data files, daily pg_dump backup archives (30-day retention), Write-Ahead Logs (WAL), and headroom for OS/DB updates over a 3–5 year lifecycle.</t>
  </si>
  <si>
    <t xml:space="preserve">4. Database Requirement</t>
  </si>
  <si>
    <t xml:space="preserve">Engine</t>
  </si>
  <si>
    <t xml:space="preserve">PostgreSQL — version 15 or 16 (LTS)</t>
  </si>
  <si>
    <t xml:space="preserve">Target database</t>
  </si>
  <si>
    <t xml:space="preserve">delhi_police_halls</t>
  </si>
  <si>
    <t xml:space="preserve">Dedicated DB user</t>
  </si>
  <si>
    <t xml:space="preserve">conference_app_user — restricted read/write access; no superuser or DDL privileges</t>
  </si>
  <si>
    <t xml:space="preserve">Automated backups</t>
  </si>
  <si>
    <t xml:space="preserve">Daily scheduled pg_dump exports with a 30-day rolling retention period</t>
  </si>
  <si>
    <t xml:space="preserve">5. Operating System &amp; Software Dependencies</t>
  </si>
  <si>
    <t xml:space="preserve">Operating System (Preferred)</t>
  </si>
  <si>
    <t xml:space="preserve">Ubuntu 22.04 LTS / 24.04 LTS</t>
  </si>
  <si>
    <t xml:space="preserve">Ubuntu recommended for this stack; Windows or Windows Server 2022 available if required by department policy</t>
  </si>
  <si>
    <t xml:space="preserve">Node.js v24.x (LTS)</t>
  </si>
  <si>
    <t xml:space="preserve">Required for the backend API server</t>
  </si>
  <si>
    <t xml:space="preserve">Process Manager</t>
  </si>
  <si>
    <t xml:space="preserve">PM2</t>
  </si>
  <si>
    <t xml:space="preserve">Keeps the Node.js process running continuously; configured to auto-restart on server reboot</t>
  </si>
  <si>
    <t xml:space="preserve">Web Server / Reverse Proxy</t>
  </si>
  <si>
    <t xml:space="preserve">Nginx (Linux) or IIS (Windows)</t>
  </si>
  <si>
    <t xml:space="preserve">Serves compiled React/Vite static files and proxies /api requests to the Node.js backend</t>
  </si>
  <si>
    <t xml:space="preserve">6. Network, Ports, Bandwidth &amp; Security</t>
  </si>
  <si>
    <t xml:space="preserve">Access Rule</t>
  </si>
  <si>
    <t xml:space="preserve">VM-01 App Server</t>
  </si>
  <si>
    <t xml:space="preserve">HTTP</t>
  </si>
  <si>
    <t xml:space="preserve">Open to internal network — auto-redirects to HTTPS (443)</t>
  </si>
  <si>
    <t xml:space="preserve">HTTPS</t>
  </si>
  <si>
    <t xml:space="preserve">Open to internal network — primary application access</t>
  </si>
  <si>
    <t xml:space="preserve">22 / 3389</t>
  </si>
  <si>
    <t xml:space="preserve">SSH / RDP</t>
  </si>
  <si>
    <t xml:space="preserve">Restricted strictly to IT Admin team IP addresses only</t>
  </si>
  <si>
    <t xml:space="preserve">VM-02 DB Server</t>
  </si>
  <si>
    <t xml:space="preserve">Strictly restricted. Only VM-01 (App Server IP) and the DB Administrator's IP are permitted. No general internal or public access.</t>
  </si>
  <si>
    <t xml:space="preserve">Bandwidth: a standard 100 Mbps internal network connection is sufficient given the low concurrent-user profile of this deployment.</t>
  </si>
  <si>
    <t xml:space="preserve">7. Additional Infrastructure Requirements</t>
  </si>
  <si>
    <t xml:space="preserve">Details</t>
  </si>
  <si>
    <t xml:space="preserve">Internal DNS entry</t>
  </si>
  <si>
    <t xml:space="preserve">A human-readable hostname mapped to VM-01's IP address. Example: conference.hq.local or vimarsh.delhipolice.gov.in</t>
  </si>
  <si>
    <t xml:space="preserve">SSL / TLS certificate</t>
  </si>
  <si>
    <t xml:space="preserve">To be issued by the internal IT department Certificate Authority (CA) for the assigned DNS entry, enabling full HTTPS encryption in transit.</t>
  </si>
  <si>
    <t xml:space="preserve">SMTP relay (email server)</t>
  </si>
  <si>
    <t xml:space="preserve">The following details are required from the department's internal mail infrastructure to enable automated OTP dispatch and booking confirmation emails: SMTP host/relay server address, SMTP port (typically 25, 465, or 587), authentication credentials (if required), sender address/display name to be used.</t>
  </si>
  <si>
    <t xml:space="preserve">8. Summary — Infrastructure at a Glance</t>
  </si>
  <si>
    <t xml:space="preserve">2 (Application server + Database server) — 2-tier architecture</t>
  </si>
  <si>
    <t xml:space="preserve">4 cores (2 + 2)</t>
  </si>
  <si>
    <t xml:space="preserve">12 GB (4 GB + 8 GB)</t>
  </si>
  <si>
    <t xml:space="preserve">Storage — total</t>
  </si>
  <si>
    <t xml:space="preserve">150 GB SSD (50 GB VM-01 + 100 GB VM-02)</t>
  </si>
  <si>
    <t xml:space="preserve">PostgreSQL 15/16 (delhi_police_halls)</t>
  </si>
  <si>
    <t xml:space="preserve">Ubuntu 22.04/24.04 LTS (preferred) or Windows Server 2022</t>
  </si>
  <si>
    <t xml:space="preserve">100 Mbps internal network — sufficient for low concurrent-user profile</t>
  </si>
  <si>
    <t xml:space="preserve">None — 80/443 open to internal network only</t>
  </si>
  <si>
    <t xml:space="preserve">Deployment scope</t>
  </si>
  <si>
    <t xml:space="preserve">~15–20 halls; hundreds of department internal users only</t>
  </si>
  <si>
    <t xml:space="preserve">Source: Infrastructure Requirements Report — Conference Hall Booking &amp; Management System, Delhi Police, prepared 30-Jun-2026. All figures reproduced as-published; no corrections were required for this system.</t>
  </si>
  <si>
    <t xml:space="preserve">PRISM (PHAROS) — Police Hierarchical Automated Reporting &amp; Operations System — Infrastructure Detail</t>
  </si>
  <si>
    <t xml:space="preserve">Source: PRISM (PHAROS) project specification (CLAUDE.md) and current codebase (backend/frontend package.json, docker-compose.yml). Compiled 06-Jul-2026 for the same procurement-sizing exercise as the CPJS, SHANTI, and Online Booking System sheets. Phase 1 (JWT auth, RBAC, 3 record types, HC→SHO→District workflow) is live; figures below size for Phase 2 (active) and note Phase 3/4 scaling triggers where relevant.</t>
  </si>
  <si>
    <t xml:space="preserve">Multi-tier: React/Vite SPA + Node.js/Express API + PostgreSQL 16 (JSONB) + RabbitMQ event bus + Redis cache</t>
  </si>
  <si>
    <t xml:space="preserve">Modules never call each other directly — all cross-module communication goes through the RabbitMQ 'pharos' topic exchange (Event Bus Isolation pillar)</t>
  </si>
  <si>
    <t xml:space="preserve">Internal — Delhi Police hierarchy (HC → SHO → District Officer/DCP → JCP/ACP → SCP → HQ)</t>
  </si>
  <si>
    <t xml:space="preserve">Phase 4 target: 18 PS, 10 ACP sub-divisions, 5 DCP districts (approx., ± a few) rollout; architecture load-tested per Phase 3 roadmap for 250 PS full-scale deployment</t>
  </si>
  <si>
    <t xml:space="preserve">Fully internal, role-based hierarchical access only — no citizen-facing endpoints</t>
  </si>
  <si>
    <t xml:space="preserve">React 19 + Vite, Ant Design, Tailwind CSS (compiled static build)</t>
  </si>
  <si>
    <t xml:space="preserve">Served by Nginx; English/Hindi i18n baked in (label_en/label_hi on every field)</t>
  </si>
  <si>
    <t xml:space="preserve">Node.js / Express (ES Modules) — 12+ route modules (auth, records, fields, workflow, compilation, analytics, reports, audit, admin, notifications, upload, users)</t>
  </si>
  <si>
    <t xml:space="preserve">REST API, dual-registered at /api/v1/ and /api/</t>
  </si>
  <si>
    <t xml:space="preserve">Event bus</t>
  </si>
  <si>
    <t xml:space="preserve">RabbitMQ (topic exchange 'pharos')</t>
  </si>
  <si>
    <t xml:space="preserve">auditHandler subscribes 'record.*' → writes record_revisions; notifyHandler subscribes status-change/compilation events</t>
  </si>
  <si>
    <t xml:space="preserve">Report generation</t>
  </si>
  <si>
    <t xml:space="preserve">Puppeteer (headless Chromium) — PDF + CSV, async job queue (report_jobs)</t>
  </si>
  <si>
    <t xml:space="preserve">CPU/RAM-intensive per report; isolated as background jobs on the app tier, not inline with request handling</t>
  </si>
  <si>
    <t xml:space="preserve">Application Server — Node.js/Express API + Nginx (React/Vite static build) + Puppeteer PDF/CSV report workers</t>
  </si>
  <si>
    <t xml:space="preserve">Puppeteer spawns headless Chromium per report job — sized for concurrent report generation without starving the API</t>
  </si>
  <si>
    <t xml:space="preserve">Message Broker &amp; Cache — RabbitMQ (event bus) + Redis (session/rate-limit cache)</t>
  </si>
  <si>
    <t xml:space="preserve">RabbitMQ topic exchange 'pharos' is the sole cross-module communication path (Event Bus Isolation pillar)</t>
  </si>
  <si>
    <t xml:space="preserve">VM-03</t>
  </si>
  <si>
    <t xml:space="preserve">Identity Server — Keycloak (MFA/SSO)</t>
  </si>
  <si>
    <t xml:space="preserve">Phase 2 roadmap item (Section 14: Keycloak/MFA) — not yet deployed in Phase 1 production; provision ahead of Phase 2 go-live</t>
  </si>
  <si>
    <t xml:space="preserve">TOTAL (compute, excl. DB)</t>
  </si>
  <si>
    <t xml:space="preserve">Rationale for separation: the message-broker/cache tier and the identity/MFA tier are isolated from the API tier so RabbitMQ throughput, Redis load, or Keycloak/MinIO I/O cannot starve the primary request path — consistent with the Event Bus Isolation architecture pillar. The database is sized separately in Section 3 since it may be procured as managed PaaS rather than self-hosted compute.</t>
  </si>
  <si>
    <t xml:space="preserve">3. Database Requirement</t>
  </si>
  <si>
    <t xml:space="preserve">DB Server</t>
  </si>
  <si>
    <t xml:space="preserve">PostgreSQL 16</t>
  </si>
  <si>
    <t xml:space="preserve">JSONB dynamic records (Dynamic Field Registry pillar) + append-only record_revisions/audit_logs (never purged); storage sized for multi-year retention growth</t>
  </si>
  <si>
    <t xml:space="preserve">pharos_db</t>
  </si>
  <si>
    <t xml:space="preserve">Core tables (12)</t>
  </si>
  <si>
    <t xml:space="preserve">hierarchy_nodes, users, field_registry, records, record_revisions, workflow_transitions, audit_logs, compilations, report_jobs, notifications, custom_field_definitions, custom_field_values</t>
  </si>
  <si>
    <t xml:space="preserve">Data model</t>
  </si>
  <si>
    <t xml:space="preserve">Schema-stable — new fields added via field_registry inserts, not ALTER TABLE (Dynamic Field Registry pillar)</t>
  </si>
  <si>
    <t xml:space="preserve">pharos_app_user — restricted read/write access; no superuser or DDL privileges</t>
  </si>
  <si>
    <t xml:space="preserve">Daily pg_dump + continuous WAL archiving — the append-only audit trail must never be lost (Append-only Audit pillar)</t>
  </si>
  <si>
    <t xml:space="preserve">Migrations</t>
  </si>
  <si>
    <t xml:space="preserve">node scripts/migrations.js — idempotent (CREATE TABLE IF NOT EXISTS)</t>
  </si>
  <si>
    <t xml:space="preserve">4. Additional Storage &amp; Backup Requirement</t>
  </si>
  <si>
    <t xml:space="preserve">Object storage (MinIO / S3-compatible)</t>
  </si>
  <si>
    <t xml:space="preserve">Uploaded attachments/evidence documents &amp; photos across all onboarded PS (upload module) — Phase 2 roadmap item</t>
  </si>
  <si>
    <t xml:space="preserve">Backup (offsite pg_dump archive)</t>
  </si>
  <si>
    <t xml:space="preserve">Encrypted offsite copy of daily DB backups, distinct from the on-VM backup staging already counted in Section 3</t>
  </si>
  <si>
    <t xml:space="preserve">TOTAL — Additional + Backup Storage</t>
  </si>
  <si>
    <t xml:space="preserve">5. Storage Allocation Summary (Total Provisioned: 1,200 GB)</t>
  </si>
  <si>
    <t xml:space="preserve">Tier</t>
  </si>
  <si>
    <t xml:space="preserve">VM-02 (Broker/Cache) SSD</t>
  </si>
  <si>
    <t xml:space="preserve">60 GB</t>
  </si>
  <si>
    <t xml:space="preserve">VM-03 (Identity) SSD</t>
  </si>
  <si>
    <t xml:space="preserve">DB Server SSD</t>
  </si>
  <si>
    <t xml:space="preserve">400 GB</t>
  </si>
  <si>
    <t xml:space="preserve">Object Storage &amp; Backup (MinIO)</t>
  </si>
  <si>
    <t xml:space="preserve">600 GB</t>
  </si>
  <si>
    <t xml:space="preserve">6. Operating System &amp; Software Dependencies</t>
  </si>
  <si>
    <t xml:space="preserve">Consistent across all VMs</t>
  </si>
  <si>
    <t xml:space="preserve">Node.js v20.x LTS</t>
  </si>
  <si>
    <t xml:space="preserve">Backend API (ES Modules, "type": "module")</t>
  </si>
  <si>
    <t xml:space="preserve">PM2 or systemd</t>
  </si>
  <si>
    <t xml:space="preserve">Auto-restarts the Express API and event-handler processes on reboot</t>
  </si>
  <si>
    <t xml:space="preserve">Serves the compiled React/Vite build; proxies /api to Express</t>
  </si>
  <si>
    <t xml:space="preserve">Message Broker</t>
  </si>
  <si>
    <t xml:space="preserve">RabbitMQ 3.x (management plugin)</t>
  </si>
  <si>
    <t xml:space="preserve">Topic exchange 'pharos'; management UI restricted to admin IPs</t>
  </si>
  <si>
    <t xml:space="preserve">Cache / Session Store</t>
  </si>
  <si>
    <t xml:space="preserve">Redis 7.x</t>
  </si>
  <si>
    <t xml:space="preserve">ioredis client</t>
  </si>
  <si>
    <t xml:space="preserve">Headless Browser</t>
  </si>
  <si>
    <t xml:space="preserve">Chromium (via Puppeteer)</t>
  </si>
  <si>
    <t xml:space="preserve">PDF report generation — requires Devanagari-capable fonts for Hindi (label_hi) rendering</t>
  </si>
  <si>
    <t xml:space="preserve">Identity Provider</t>
  </si>
  <si>
    <t xml:space="preserve">Keycloak (Phase 2)</t>
  </si>
  <si>
    <t xml:space="preserve">MFA/SSO — provision ahead of Phase 2 rollout</t>
  </si>
  <si>
    <t xml:space="preserve">MinIO (Phase 2)</t>
  </si>
  <si>
    <t xml:space="preserve">S3-compatible; attachment/evidence storage</t>
  </si>
  <si>
    <t xml:space="preserve">7. Network, Ports, Bandwidth &amp; Security</t>
  </si>
  <si>
    <t xml:space="preserve">Internal Delhi Police network / VPN only — redirects to HTTPS (443)</t>
  </si>
  <si>
    <t xml:space="preserve">Internal network / VPN — primary application access for all hierarchy levels</t>
  </si>
  <si>
    <t xml:space="preserve">Restricted to VM-01 (App Server IP) and the DB Administrator's IP only — no general internal or public access</t>
  </si>
  <si>
    <t xml:space="preserve">VM-02 Broker/Cache</t>
  </si>
  <si>
    <t xml:space="preserve">5672</t>
  </si>
  <si>
    <t xml:space="preserve">AMQP</t>
  </si>
  <si>
    <t xml:space="preserve">Restricted to VM-01 — RabbitMQ publish/subscribe traffic only</t>
  </si>
  <si>
    <t xml:space="preserve">15672</t>
  </si>
  <si>
    <t xml:space="preserve">HTTP (Mgmt UI)</t>
  </si>
  <si>
    <t xml:space="preserve">Restricted to IT Admin team IPs only</t>
  </si>
  <si>
    <t xml:space="preserve">Restricted to VM-01</t>
  </si>
  <si>
    <t xml:space="preserve">VM-03 Identity</t>
  </si>
  <si>
    <t xml:space="preserve">8080 / 8443</t>
  </si>
  <si>
    <t xml:space="preserve">HTTP/HTTPS (Keycloak)</t>
  </si>
  <si>
    <t xml:space="preserve">Restricted to VM-01 and IT Admin team IPs</t>
  </si>
  <si>
    <t xml:space="preserve">Bandwidth: internal VPN/WAN-based access only, no public IP; 200 Mbps recommended baseline — Puppeteer PDF generation and MinIO attachment transfer are the main bandwidth consumers, not general API traffic.</t>
  </si>
  <si>
    <t xml:space="preserve">8. Additional Infrastructure Requirements</t>
  </si>
  <si>
    <t xml:space="preserve">Human-readable hostname mapped to VM-01's IP address. Example: prism.delhipolice.gov.in or pharos.hq.local</t>
  </si>
  <si>
    <t xml:space="preserve">To be issued by the internal IT department Certificate Authority (CA) for the assigned DNS entry, enabling full HTTPS encryption in transit</t>
  </si>
  <si>
    <t xml:space="preserve">VPN / network access</t>
  </si>
  <si>
    <t xml:space="preserve">All VMs reachable only over the Delhi Police internal WAN/VPN — no public IP on any tier</t>
  </si>
  <si>
    <t xml:space="preserve">Bilingual rendering support</t>
  </si>
  <si>
    <t xml:space="preserve">Puppeteer PDF worker (VM-01) requires Devanagari-capable fonts installed for Hindi (label_hi) report rendering</t>
  </si>
  <si>
    <t xml:space="preserve">Load testing</t>
  </si>
  <si>
    <t xml:space="preserve">Phase 3 roadmap item — validate the spec below at 250 PS scale before full district rollout (Phase 4)</t>
  </si>
  <si>
    <t xml:space="preserve">9. Summary — Infrastructure at a Glance</t>
  </si>
  <si>
    <t xml:space="preserve">4 (Application + Message Broker/Cache + Identity + Database) — 4-tier architecture</t>
  </si>
  <si>
    <t xml:space="preserve">vCPU — compute total (excl. DB)</t>
  </si>
  <si>
    <t xml:space="preserve">16 cores (8 + 4 + 4)</t>
  </si>
  <si>
    <t xml:space="preserve">RAM — compute total (excl. DB)</t>
  </si>
  <si>
    <t xml:space="preserve">32 GB (16 + 8 + 8)</t>
  </si>
  <si>
    <t xml:space="preserve">Database compute</t>
  </si>
  <si>
    <t xml:space="preserve">8 vCPU / 32 GB RAM (PostgreSQL 16, self-hosted or managed PaaS)</t>
  </si>
  <si>
    <t xml:space="preserve">Storage — compute VMs</t>
  </si>
  <si>
    <t xml:space="preserve">200 GB SSD (100 + 60 + 40)</t>
  </si>
  <si>
    <t xml:space="preserve">Storage — database</t>
  </si>
  <si>
    <t xml:space="preserve">400 GB SSD</t>
  </si>
  <si>
    <t xml:space="preserve">Storage — object storage / backup</t>
  </si>
  <si>
    <t xml:space="preserve">600 GB (500 MinIO + 100 offsite backup)</t>
  </si>
  <si>
    <t xml:space="preserve">Total provisioned storage</t>
  </si>
  <si>
    <t xml:space="preserve">1,200 GB (200 compute + 400 DB + 600 object/backup)</t>
  </si>
  <si>
    <t xml:space="preserve">PostgreSQL 16 (pharos_db)</t>
  </si>
  <si>
    <t xml:space="preserve">Ubuntu 22.04 / 24.04 LTS</t>
  </si>
  <si>
    <t xml:space="preserve">200 Mbps internal VPN — Puppeteer PDF &amp; MinIO transfer are primary consumers</t>
  </si>
  <si>
    <t xml:space="preserve">None — all tiers internal-VPN only</t>
  </si>
  <si>
    <t xml:space="preserve">Phase 4 target: 18 PS, 10 ACP sub-divisions, 5 DCP districts (approx., ± a few); architecture validated (Phase 3 roadmap) for 250 PS full-scale deployment</t>
  </si>
  <si>
    <t xml:space="preserve">Source: PRISM (PHAROS) project specification (CLAUDE.md) and current codebase (backend/frontend package.json, docker-compose.yml), compiled 06-Jul-2026. VM-03 (Keycloak/MFA) and the MinIO object-storage tier reflect Phase 2 roadmap requirements not yet deployed in Phase 1 production — provision ahead of Phase 2 go-live. This is a first-pass sizing estimate for procurement scoping, not a substitute for load testing once Phase 2 is live.</t>
  </si>
</sst>
</file>

<file path=xl/styles.xml><?xml version="1.0" encoding="utf-8"?>
<styleSheet xmlns="http://schemas.openxmlformats.org/spreadsheetml/2006/main">
  <numFmts count="3">
    <numFmt numFmtId="164" formatCode="General"/>
    <numFmt numFmtId="165" formatCode="#,##0"/>
    <numFmt numFmtId="166" formatCode="#,##0.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11"/>
      <color rgb="FFFFFFFF"/>
      <name val="Arial"/>
      <family val="0"/>
      <charset val="1"/>
    </font>
    <font>
      <b val="true"/>
      <sz val="9.5"/>
      <color rgb="FFFFFFFF"/>
      <name val="Arial"/>
      <family val="0"/>
      <charset val="1"/>
    </font>
    <font>
      <b val="true"/>
      <sz val="9.5"/>
      <color rgb="FF000000"/>
      <name val="Arial"/>
      <family val="0"/>
      <charset val="1"/>
    </font>
    <font>
      <sz val="9.5"/>
      <color rgb="FF000000"/>
      <name val="Arial"/>
      <family val="0"/>
      <charset val="1"/>
    </font>
    <font>
      <i val="true"/>
      <sz val="8.5"/>
      <color rgb="FF666666"/>
      <name val="Arial"/>
      <family val="0"/>
      <charset val="1"/>
    </font>
    <font>
      <b val="true"/>
      <sz val="10"/>
      <color rgb="FF000000"/>
      <name val="Arial"/>
      <family val="0"/>
      <charset val="1"/>
    </font>
    <font>
      <b val="true"/>
      <sz val="9"/>
      <color rgb="FF375623"/>
      <name val="Arial"/>
      <family val="0"/>
      <charset val="1"/>
    </font>
    <font>
      <b val="true"/>
      <sz val="9"/>
      <color rgb="FFC00000"/>
      <name val="Arial"/>
      <family val="0"/>
      <charset val="1"/>
    </font>
    <font>
      <b val="true"/>
      <i val="true"/>
      <sz val="8.5"/>
      <color rgb="FF666666"/>
      <name val="Arial"/>
      <family val="0"/>
      <charset val="1"/>
    </font>
    <font>
      <b val="true"/>
      <i val="true"/>
      <sz val="8.5"/>
      <color rgb="FFC55A11"/>
      <name val="Arial"/>
      <family val="0"/>
      <charset val="1"/>
    </font>
    <font>
      <b val="true"/>
      <i val="true"/>
      <sz val="8.5"/>
      <color rgb="FF000000"/>
      <name val="Arial"/>
      <family val="0"/>
      <charset val="1"/>
    </font>
  </fonts>
  <fills count="11">
    <fill>
      <patternFill patternType="none"/>
    </fill>
    <fill>
      <patternFill patternType="gray125"/>
    </fill>
    <fill>
      <patternFill patternType="solid">
        <fgColor rgb="FF1F3864"/>
        <bgColor rgb="FF2E5395"/>
      </patternFill>
    </fill>
    <fill>
      <patternFill patternType="solid">
        <fgColor rgb="FF2E5395"/>
        <bgColor rgb="FF1F3864"/>
      </patternFill>
    </fill>
    <fill>
      <patternFill patternType="solid">
        <fgColor rgb="FF4472C4"/>
        <bgColor rgb="FF2E5395"/>
      </patternFill>
    </fill>
    <fill>
      <patternFill patternType="solid">
        <fgColor rgb="FFFFD966"/>
        <bgColor rgb="FFFFFF99"/>
      </patternFill>
    </fill>
    <fill>
      <patternFill patternType="solid">
        <fgColor rgb="FF375623"/>
        <bgColor rgb="FF333300"/>
      </patternFill>
    </fill>
    <fill>
      <patternFill patternType="solid">
        <fgColor rgb="FFE2EFDA"/>
        <bgColor rgb="FFD9E2F3"/>
      </patternFill>
    </fill>
    <fill>
      <patternFill patternType="solid">
        <fgColor rgb="FFFDE9EF"/>
        <bgColor rgb="FFE2EFDA"/>
      </patternFill>
    </fill>
    <fill>
      <patternFill patternType="solid">
        <fgColor rgb="FFD9E2F3"/>
        <bgColor rgb="FFE2EFDA"/>
      </patternFill>
    </fill>
    <fill>
      <patternFill patternType="solid">
        <fgColor rgb="FFC55A11"/>
        <bgColor rgb="FF993300"/>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tru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1"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6" fillId="6" borderId="0" xfId="0" applyFont="true" applyBorder="true" applyAlignment="true" applyProtection="false">
      <alignment horizontal="left" vertical="center" textRotation="0" wrapText="false" indent="1" shrinkToFit="false"/>
      <protection locked="true" hidden="false"/>
    </xf>
    <xf numFmtId="164" fontId="12" fillId="7" borderId="0" xfId="0" applyFont="true" applyBorder="true" applyAlignment="true" applyProtection="false">
      <alignment horizontal="left" vertical="center" textRotation="0" wrapText="true" indent="1" shrinkToFit="false"/>
      <protection locked="true" hidden="false"/>
    </xf>
    <xf numFmtId="164" fontId="13" fillId="8" borderId="0" xfId="0" applyFont="true" applyBorder="true" applyAlignment="true" applyProtection="false">
      <alignment horizontal="left" vertical="center" textRotation="0" wrapText="true" indent="1" shrinkToFit="false"/>
      <protection locked="true" hidden="false"/>
    </xf>
    <xf numFmtId="164" fontId="14" fillId="0" borderId="0" xfId="0" applyFont="true" applyBorder="true" applyAlignment="true" applyProtection="false">
      <alignment horizontal="left" vertical="center" textRotation="0" wrapText="true" indent="1"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5" fontId="11" fillId="5" borderId="1" xfId="0" applyFont="true" applyBorder="true" applyAlignment="true" applyProtection="false">
      <alignment horizontal="center" vertical="center" textRotation="0" wrapText="false" indent="0" shrinkToFit="false"/>
      <protection locked="true" hidden="false"/>
    </xf>
    <xf numFmtId="164" fontId="11" fillId="9" borderId="1" xfId="0" applyFont="true" applyBorder="true" applyAlignment="true" applyProtection="false">
      <alignment horizontal="left" vertical="center" textRotation="0" wrapText="false" indent="0" shrinkToFit="false"/>
      <protection locked="true" hidden="false"/>
    </xf>
    <xf numFmtId="164" fontId="11" fillId="9" borderId="1" xfId="0" applyFont="true" applyBorder="true" applyAlignment="true" applyProtection="false">
      <alignment horizontal="center" vertical="center" textRotation="0" wrapText="false" indent="0" shrinkToFit="false"/>
      <protection locked="true" hidden="false"/>
    </xf>
    <xf numFmtId="165" fontId="11" fillId="9" borderId="1" xfId="0" applyFont="true" applyBorder="true" applyAlignment="true" applyProtection="false">
      <alignment horizontal="center" vertical="center" textRotation="0" wrapText="false" indent="0" shrinkToFit="false"/>
      <protection locked="true" hidden="false"/>
    </xf>
    <xf numFmtId="164" fontId="6" fillId="10" borderId="0" xfId="0" applyFont="true" applyBorder="true" applyAlignment="true" applyProtection="false">
      <alignment horizontal="left" vertical="center" textRotation="0" wrapText="false" indent="1" shrinkToFit="false"/>
      <protection locked="true" hidden="false"/>
    </xf>
    <xf numFmtId="164" fontId="15" fillId="0" borderId="0" xfId="0" applyFont="true" applyBorder="true" applyAlignment="true" applyProtection="false">
      <alignment horizontal="left" vertical="center" textRotation="0" wrapText="true" indent="1" shrinkToFit="false"/>
      <protection locked="true" hidden="false"/>
    </xf>
    <xf numFmtId="164" fontId="16" fillId="0" borderId="0" xfId="0" applyFont="true" applyBorder="true" applyAlignment="true" applyProtection="false">
      <alignment horizontal="left" vertical="center" textRotation="0" wrapText="true" indent="1"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4" fontId="11" fillId="5" borderId="2" xfId="0" applyFont="true" applyBorder="true" applyAlignment="true" applyProtection="false">
      <alignment horizontal="left" vertical="center" textRotation="0" wrapText="false" indent="0" shrinkToFit="false"/>
      <protection locked="true" hidden="false"/>
    </xf>
    <xf numFmtId="164" fontId="11" fillId="5" borderId="2" xfId="0" applyFont="true" applyBorder="true" applyAlignment="true" applyProtection="false">
      <alignment horizontal="center" vertical="center" textRotation="0" wrapText="true" indent="0" shrinkToFit="false"/>
      <protection locked="true" hidden="false"/>
    </xf>
    <xf numFmtId="165" fontId="11" fillId="5" borderId="2"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DE9EF"/>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D966"/>
      <rgbColor rgb="FF4472C4"/>
      <rgbColor rgb="FF33CCCC"/>
      <rgbColor rgb="FF99CC00"/>
      <rgbColor rgb="FFFFCC00"/>
      <rgbColor rgb="FFFF9900"/>
      <rgbColor rgb="FFC55A11"/>
      <rgbColor rgb="FF666666"/>
      <rgbColor rgb="FF969696"/>
      <rgbColor rgb="FF1F3864"/>
      <rgbColor rgb="FF339966"/>
      <rgbColor rgb="FF003300"/>
      <rgbColor rgb="FF333300"/>
      <rgbColor rgb="FF993300"/>
      <rgbColor rgb="FF993366"/>
      <rgbColor rgb="FF2E5395"/>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22" activePane="bottomLeft" state="frozen"/>
      <selection pane="topLeft" activeCell="A1" activeCellId="0" sqref="A1"/>
      <selection pane="bottomLeft" activeCell="E6" activeCellId="0" sqref="E6"/>
    </sheetView>
  </sheetViews>
  <sheetFormatPr defaultColWidth="8.59765625" defaultRowHeight="14.25" customHeight="false"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38"/>
    <col collapsed="false" customWidth="true" hidden="false" outlineLevel="0" max="4" min="4" style="0" width="32"/>
    <col collapsed="false" customWidth="true" hidden="false" outlineLevel="0" max="5" min="5" style="0" width="34"/>
  </cols>
  <sheetData>
    <row r="1" customFormat="false" ht="25.5" hidden="false" customHeight="true" outlineLevel="0" collapsed="false">
      <c r="A1" s="1" t="s">
        <v>0</v>
      </c>
      <c r="B1" s="1"/>
      <c r="C1" s="1"/>
      <c r="D1" s="1"/>
      <c r="E1" s="1"/>
    </row>
    <row r="2" customFormat="false" ht="25.5" hidden="false" customHeight="true" outlineLevel="0" collapsed="false">
      <c r="A2" s="2" t="s">
        <v>1</v>
      </c>
      <c r="B2" s="2"/>
      <c r="C2" s="2"/>
      <c r="D2" s="2"/>
      <c r="E2" s="2"/>
    </row>
    <row r="4" customFormat="false" ht="19.5" hidden="false" customHeight="true" outlineLevel="0" collapsed="false">
      <c r="A4" s="3" t="s">
        <v>2</v>
      </c>
      <c r="B4" s="3"/>
      <c r="C4" s="3"/>
      <c r="D4" s="3"/>
      <c r="E4" s="3"/>
    </row>
    <row r="5" customFormat="false" ht="30" hidden="false" customHeight="true" outlineLevel="0" collapsed="false">
      <c r="A5" s="4" t="s">
        <v>3</v>
      </c>
      <c r="B5" s="4" t="s">
        <v>4</v>
      </c>
      <c r="C5" s="4" t="s">
        <v>5</v>
      </c>
      <c r="D5" s="4" t="s">
        <v>6</v>
      </c>
      <c r="E5" s="4" t="s">
        <v>7</v>
      </c>
    </row>
    <row r="6" customFormat="false" ht="36" hidden="false" customHeight="true" outlineLevel="0" collapsed="false">
      <c r="A6" s="5" t="s">
        <v>8</v>
      </c>
      <c r="B6" s="6" t="s">
        <v>9</v>
      </c>
      <c r="C6" s="6" t="s">
        <v>10</v>
      </c>
      <c r="D6" s="6" t="s">
        <v>11</v>
      </c>
      <c r="E6" s="6" t="s">
        <v>12</v>
      </c>
    </row>
    <row r="7" customFormat="false" ht="36" hidden="false" customHeight="true" outlineLevel="0" collapsed="false">
      <c r="A7" s="5" t="s">
        <v>13</v>
      </c>
      <c r="B7" s="6" t="s">
        <v>14</v>
      </c>
      <c r="C7" s="6" t="s">
        <v>15</v>
      </c>
      <c r="D7" s="6" t="s">
        <v>16</v>
      </c>
      <c r="E7" s="6" t="s">
        <v>17</v>
      </c>
    </row>
    <row r="8" customFormat="false" ht="36" hidden="false" customHeight="true" outlineLevel="0" collapsed="false">
      <c r="A8" s="5" t="s">
        <v>18</v>
      </c>
      <c r="B8" s="6" t="s">
        <v>19</v>
      </c>
      <c r="C8" s="6" t="s">
        <v>20</v>
      </c>
      <c r="D8" s="6" t="s">
        <v>21</v>
      </c>
      <c r="E8" s="6" t="s">
        <v>22</v>
      </c>
    </row>
    <row r="9" customFormat="false" ht="23.85" hidden="false" customHeight="false" outlineLevel="0" collapsed="false">
      <c r="A9" s="5" t="s">
        <v>23</v>
      </c>
      <c r="B9" s="6" t="str">
        <f aca="false">'CP Jan Sunwai (CPJS)'!D40&amp;" cores  (API 4 + Ollama 8 + Nginx 2, excl. bastion)"</f>
        <v>14 cores  (API 4 + Ollama 8 + Nginx 2, excl. bastion)</v>
      </c>
      <c r="C9" s="6" t="str">
        <f aca="false">'SHANTI AI Chatbot'!C53&amp;" cores  (VM-1: 8 + VM-2: 8)"</f>
        <v>16 cores  (VM-1: 8 + VM-2: 8)</v>
      </c>
      <c r="D9" s="6" t="str">
        <f aca="false">'Online Booking System'!C16&amp;" cores  (VM-01: 2 + VM-02: 2)"</f>
        <v>4 cores  (VM-01: 2 + VM-02: 2)</v>
      </c>
      <c r="E9" s="6" t="str">
        <f aca="false">PRISM!C20&amp;" cores  (App 8 + Broker/Cache 4 + Identity 4, excl. DB)"</f>
        <v>16 cores  (App 8 + Broker/Cache 4 + Identity 4, excl. DB)</v>
      </c>
    </row>
    <row r="10" customFormat="false" ht="14.25" hidden="false" customHeight="false" outlineLevel="0" collapsed="false">
      <c r="A10" s="5" t="s">
        <v>24</v>
      </c>
      <c r="B10" s="6" t="str">
        <f aca="false">'CP Jan Sunwai (CPJS)'!E40&amp;" GB  (16 + 32 + 8)"</f>
        <v>56 GB  (16 + 32 + 8)</v>
      </c>
      <c r="C10" s="6" t="str">
        <f aca="false">'SHANTI AI Chatbot'!D53&amp;" GB  (24 + 32)"</f>
        <v>56 GB  (24 + 32)</v>
      </c>
      <c r="D10" s="6" t="str">
        <f aca="false">'Online Booking System'!D16&amp;" GB  (4 + 8)"</f>
        <v>12 GB  (4 + 8)</v>
      </c>
      <c r="E10" s="6" t="str">
        <f aca="false">PRISM!D20&amp;" GB  (16 + 8 + 8)"</f>
        <v>32 GB  (16 + 8 + 8)</v>
      </c>
    </row>
    <row r="11" customFormat="false" ht="60" hidden="false" customHeight="true" outlineLevel="0" collapsed="false">
      <c r="A11" s="5" t="s">
        <v>25</v>
      </c>
      <c r="B11" s="6" t="s">
        <v>26</v>
      </c>
      <c r="C11" s="6" t="s">
        <v>27</v>
      </c>
      <c r="D11" s="6" t="s">
        <v>28</v>
      </c>
      <c r="E11" s="6" t="s">
        <v>28</v>
      </c>
    </row>
    <row r="12" customFormat="false" ht="23.85" hidden="false" customHeight="false" outlineLevel="0" collapsed="false">
      <c r="A12" s="5" t="s">
        <v>29</v>
      </c>
      <c r="B12" s="6" t="str">
        <f aca="false">('CP Jan Sunwai (CPJS)'!F40+'CP Jan Sunwai (CPJS)'!G40)&amp;" GB  (OS + additional disk, Prod VMs)"</f>
        <v>600 GB  (OS + additional disk, Prod VMs)</v>
      </c>
      <c r="C12" s="6" t="str">
        <f aca="false">('SHANTI AI Chatbot'!C68+'SHANTI AI Chatbot'!C69)&amp;" GB  (VM-1: 100 + VM-2: 80)"</f>
        <v>180 GB  (VM-1: 100 + VM-2: 80)</v>
      </c>
      <c r="D12" s="6" t="str">
        <f aca="false">'Online Booking System'!E16&amp;" GB  (VM-01: 50 + VM-02: 100)"</f>
        <v>150 GB  (VM-01: 50 + VM-02: 100)</v>
      </c>
      <c r="E12" s="6" t="str">
        <f aca="false">PRISM!E20&amp;" GB  (App 100 + Broker/Cache 60 + Identity 40)"</f>
        <v>200 GB  (App 100 + Broker/Cache 60 + Identity 40)</v>
      </c>
    </row>
    <row r="13" customFormat="false" ht="48" hidden="false" customHeight="true" outlineLevel="0" collapsed="false">
      <c r="A13" s="5" t="s">
        <v>30</v>
      </c>
      <c r="B13" s="6" t="str">
        <f aca="false">'CP Jan Sunwai (CPJS)'!G50&amp;" GB DB (Prod: Postgres+Redis) + "&amp;'CP Jan Sunwai (CPJS)'!C59&amp;" GB object storage/backup (all envs, incl. DR)"</f>
        <v>400 GB DB (Prod: Postgres+Redis) + 5100 GB object storage/backup (all envs, incl. DR)</v>
      </c>
      <c r="C13" s="6" t="s">
        <v>31</v>
      </c>
      <c r="D13" s="6" t="s">
        <v>32</v>
      </c>
      <c r="E13" s="6" t="str">
        <f aca="false">PRISM!E25&amp;" GB DB (PostgreSQL 16, self-hosted) + "&amp;PRISM!B39&amp;" GB object storage/backup (MinIO — attachments/evidence + offsite DB backup archive)"</f>
        <v>400 GB DB (PostgreSQL 16, self-hosted) + 600 GB object storage/backup (MinIO — attachments/evidence + offsite DB backup archive)</v>
      </c>
    </row>
    <row r="14" customFormat="false" ht="14.25" hidden="false" customHeight="false" outlineLevel="0" collapsed="false">
      <c r="A14" s="5" t="s">
        <v>33</v>
      </c>
      <c r="B14" s="6" t="str">
        <f aca="false">('CP Jan Sunwai (CPJS)'!F40+'CP Jan Sunwai (CPJS)'!G40+'CP Jan Sunwai (CPJS)'!G50+'CP Jan Sunwai (CPJS)'!C59)&amp;" GB (Prod, incl. object/backup)"</f>
        <v>6100 GB (Prod, incl. object/backup)</v>
      </c>
      <c r="C14" s="6" t="str">
        <f aca="false">('SHANTI AI Chatbot'!C68+'SHANTI AI Chatbot'!C69+50)&amp;" GB (incl. 50GB backup)"</f>
        <v>230 GB (incl. 50GB backup)</v>
      </c>
      <c r="D14" s="6" t="str">
        <f aca="false">('Online Booking System'!E16)&amp;" GB"</f>
        <v>150 GB</v>
      </c>
      <c r="E14" s="6" t="str">
        <f aca="false">(PRISM!E20+PRISM!E25+PRISM!B39)&amp;" GB (Prod, incl. DB + object/backup)"</f>
        <v>1200 GB (Prod, incl. DB + object/backup)</v>
      </c>
    </row>
    <row r="15" customFormat="false" ht="23.85" hidden="false" customHeight="false" outlineLevel="0" collapsed="false">
      <c r="A15" s="5" t="s">
        <v>34</v>
      </c>
      <c r="B15" s="6" t="s">
        <v>35</v>
      </c>
      <c r="C15" s="6" t="s">
        <v>36</v>
      </c>
      <c r="D15" s="6" t="s">
        <v>37</v>
      </c>
      <c r="E15" s="6" t="s">
        <v>38</v>
      </c>
    </row>
    <row r="16" customFormat="false" ht="24" hidden="false" customHeight="true" outlineLevel="0" collapsed="false">
      <c r="A16" s="5" t="s">
        <v>39</v>
      </c>
      <c r="B16" s="6" t="s">
        <v>40</v>
      </c>
      <c r="C16" s="6" t="s">
        <v>41</v>
      </c>
      <c r="D16" s="6" t="s">
        <v>42</v>
      </c>
      <c r="E16" s="6" t="s">
        <v>43</v>
      </c>
    </row>
    <row r="17" customFormat="false" ht="24" hidden="false" customHeight="true" outlineLevel="0" collapsed="false">
      <c r="A17" s="5" t="s">
        <v>44</v>
      </c>
      <c r="B17" s="6" t="s">
        <v>45</v>
      </c>
      <c r="C17" s="6" t="s">
        <v>46</v>
      </c>
      <c r="D17" s="6" t="s">
        <v>47</v>
      </c>
      <c r="E17" s="6" t="s">
        <v>48</v>
      </c>
    </row>
    <row r="18" customFormat="false" ht="48" hidden="false" customHeight="true" outlineLevel="0" collapsed="false">
      <c r="A18" s="5" t="s">
        <v>49</v>
      </c>
      <c r="B18" s="6" t="s">
        <v>50</v>
      </c>
      <c r="C18" s="6" t="s">
        <v>51</v>
      </c>
      <c r="D18" s="6" t="s">
        <v>52</v>
      </c>
      <c r="E18" s="6" t="s">
        <v>53</v>
      </c>
    </row>
    <row r="20" customFormat="false" ht="19.5" hidden="false" customHeight="true" outlineLevel="0" collapsed="false">
      <c r="A20" s="3" t="s">
        <v>54</v>
      </c>
      <c r="B20" s="3"/>
      <c r="C20" s="3"/>
      <c r="D20" s="3"/>
      <c r="E20" s="3"/>
    </row>
    <row r="21" customFormat="false" ht="25.5" hidden="false" customHeight="true" outlineLevel="0" collapsed="false">
      <c r="A21" s="7" t="s">
        <v>55</v>
      </c>
      <c r="B21" s="7"/>
      <c r="C21" s="7"/>
      <c r="D21" s="7"/>
      <c r="E21" s="7"/>
    </row>
    <row r="22" customFormat="false" ht="30" hidden="false" customHeight="true" outlineLevel="0" collapsed="false">
      <c r="A22" s="4" t="s">
        <v>56</v>
      </c>
      <c r="B22" s="4" t="s">
        <v>4</v>
      </c>
      <c r="C22" s="4" t="s">
        <v>5</v>
      </c>
      <c r="D22" s="4" t="s">
        <v>6</v>
      </c>
      <c r="E22" s="4" t="s">
        <v>57</v>
      </c>
    </row>
    <row r="23" customFormat="false" ht="14.25" hidden="false" customHeight="false" outlineLevel="0" collapsed="false">
      <c r="A23" s="5" t="s">
        <v>58</v>
      </c>
      <c r="B23" s="6" t="s">
        <v>59</v>
      </c>
      <c r="C23" s="6" t="s">
        <v>60</v>
      </c>
      <c r="D23" s="6" t="s">
        <v>61</v>
      </c>
      <c r="E23" s="6" t="s">
        <v>62</v>
      </c>
    </row>
    <row r="24" customFormat="false" ht="14.25" hidden="false" customHeight="false" outlineLevel="0" collapsed="false">
      <c r="A24" s="5" t="s">
        <v>63</v>
      </c>
      <c r="B24" s="6" t="s">
        <v>64</v>
      </c>
      <c r="C24" s="6" t="s">
        <v>65</v>
      </c>
      <c r="D24" s="6" t="s">
        <v>66</v>
      </c>
      <c r="E24" s="6" t="s">
        <v>66</v>
      </c>
    </row>
    <row r="25" customFormat="false" ht="24" hidden="false" customHeight="true" outlineLevel="0" collapsed="false">
      <c r="A25" s="5" t="s">
        <v>67</v>
      </c>
      <c r="B25" s="6" t="s">
        <v>68</v>
      </c>
      <c r="C25" s="6" t="s">
        <v>69</v>
      </c>
      <c r="D25" s="6" t="s">
        <v>70</v>
      </c>
      <c r="E25" s="6" t="s">
        <v>71</v>
      </c>
    </row>
    <row r="26" customFormat="false" ht="14.25" hidden="false" customHeight="false" outlineLevel="0" collapsed="false">
      <c r="A26" s="5" t="s">
        <v>72</v>
      </c>
      <c r="B26" s="6" t="s">
        <v>73</v>
      </c>
      <c r="C26" s="6" t="s">
        <v>74</v>
      </c>
      <c r="D26" s="6" t="s">
        <v>75</v>
      </c>
      <c r="E26" s="6" t="str">
        <f aca="false">PRISM!B39&amp;" GB"</f>
        <v>600 GB</v>
      </c>
    </row>
    <row r="27" customFormat="false" ht="14.25" hidden="false" customHeight="false" outlineLevel="0" collapsed="false">
      <c r="A27" s="8" t="s">
        <v>76</v>
      </c>
      <c r="B27" s="9" t="s">
        <v>77</v>
      </c>
      <c r="C27" s="9"/>
      <c r="D27" s="9"/>
      <c r="E27" s="9"/>
    </row>
    <row r="28" customFormat="false" ht="14.25" hidden="false" customHeight="false" outlineLevel="0" collapsed="false">
      <c r="A28" s="8" t="s">
        <v>78</v>
      </c>
      <c r="B28" s="9" t="s">
        <v>79</v>
      </c>
      <c r="C28" s="9"/>
      <c r="D28" s="9"/>
      <c r="E28" s="9"/>
    </row>
    <row r="29" customFormat="false" ht="14.25" hidden="false" customHeight="false" outlineLevel="0" collapsed="false">
      <c r="A29" s="8" t="s">
        <v>80</v>
      </c>
      <c r="B29" s="9" t="s">
        <v>81</v>
      </c>
      <c r="C29" s="9"/>
      <c r="D29" s="9"/>
      <c r="E29" s="9"/>
    </row>
    <row r="31" customFormat="false" ht="19.5" hidden="false" customHeight="true" outlineLevel="0" collapsed="false">
      <c r="A31" s="10" t="s">
        <v>82</v>
      </c>
      <c r="B31" s="10"/>
      <c r="C31" s="10"/>
      <c r="D31" s="10"/>
      <c r="E31" s="10"/>
    </row>
    <row r="32" customFormat="false" ht="51.75" hidden="false" customHeight="true" outlineLevel="0" collapsed="false">
      <c r="A32" s="11" t="s">
        <v>83</v>
      </c>
      <c r="B32" s="11"/>
      <c r="C32" s="11"/>
      <c r="D32" s="11"/>
      <c r="E32" s="11"/>
    </row>
    <row r="33" customFormat="false" ht="51.75" hidden="false" customHeight="true" outlineLevel="0" collapsed="false">
      <c r="A33" s="12" t="s">
        <v>84</v>
      </c>
      <c r="B33" s="12"/>
      <c r="C33" s="12"/>
      <c r="D33" s="12"/>
      <c r="E33" s="12"/>
    </row>
    <row r="34" customFormat="false" ht="51.75" hidden="false" customHeight="true" outlineLevel="0" collapsed="false">
      <c r="A34" s="7" t="s">
        <v>85</v>
      </c>
      <c r="B34" s="7"/>
      <c r="C34" s="7"/>
      <c r="D34" s="7"/>
      <c r="E34" s="7"/>
    </row>
    <row r="35" customFormat="false" ht="39" hidden="false" customHeight="true" outlineLevel="0" collapsed="false">
      <c r="A35" s="13" t="s">
        <v>86</v>
      </c>
      <c r="B35" s="13"/>
      <c r="C35" s="13"/>
      <c r="D35" s="13"/>
      <c r="E35" s="13"/>
    </row>
  </sheetData>
  <mergeCells count="10">
    <mergeCell ref="A1:E1"/>
    <mergeCell ref="A2:E2"/>
    <mergeCell ref="A4:E4"/>
    <mergeCell ref="A20:E20"/>
    <mergeCell ref="A21:E21"/>
    <mergeCell ref="A31:E31"/>
    <mergeCell ref="A32:E32"/>
    <mergeCell ref="A33:E33"/>
    <mergeCell ref="A34:E34"/>
    <mergeCell ref="A35:E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17" activeCellId="0" sqref="B17"/>
    </sheetView>
  </sheetViews>
  <sheetFormatPr defaultColWidth="8.59765625" defaultRowHeight="14.25" customHeight="false" zeroHeight="false" outlineLevelRow="0" outlineLevelCol="0"/>
  <cols>
    <col collapsed="false" customWidth="true" hidden="false" outlineLevel="0" max="2" min="1" style="0" width="16"/>
    <col collapsed="false" customWidth="true" hidden="false" outlineLevel="0" max="3" min="3" style="0" width="26"/>
    <col collapsed="false" customWidth="true" hidden="false" outlineLevel="0" max="4" min="4" style="0" width="9"/>
    <col collapsed="false" customWidth="true" hidden="false" outlineLevel="0" max="5" min="5" style="0" width="12"/>
    <col collapsed="false" customWidth="true" hidden="false" outlineLevel="0" max="6" min="6" style="0" width="10"/>
    <col collapsed="false" customWidth="true" hidden="false" outlineLevel="0" max="8" min="7" style="0" width="12"/>
    <col collapsed="false" customWidth="true" hidden="false" outlineLevel="0" max="9" min="9" style="0" width="34"/>
  </cols>
  <sheetData>
    <row r="1" customFormat="false" ht="25.5" hidden="false" customHeight="true" outlineLevel="0" collapsed="false">
      <c r="A1" s="1" t="s">
        <v>87</v>
      </c>
      <c r="B1" s="1"/>
      <c r="C1" s="1"/>
      <c r="D1" s="1"/>
      <c r="E1" s="1"/>
      <c r="F1" s="1"/>
      <c r="G1" s="1"/>
      <c r="H1" s="1"/>
      <c r="I1" s="1"/>
    </row>
    <row r="2" customFormat="false" ht="15.75" hidden="false" customHeight="true" outlineLevel="0" collapsed="false">
      <c r="A2" s="2" t="s">
        <v>88</v>
      </c>
      <c r="B2" s="2"/>
      <c r="C2" s="2"/>
      <c r="D2" s="2"/>
      <c r="E2" s="2"/>
      <c r="F2" s="2"/>
      <c r="G2" s="2"/>
      <c r="H2" s="2"/>
      <c r="I2" s="2"/>
    </row>
    <row r="4" customFormat="false" ht="19.5" hidden="false" customHeight="true" outlineLevel="0" collapsed="false">
      <c r="A4" s="3" t="s">
        <v>89</v>
      </c>
      <c r="B4" s="3"/>
      <c r="C4" s="3"/>
      <c r="D4" s="3"/>
      <c r="E4" s="3"/>
      <c r="F4" s="3"/>
      <c r="G4" s="3"/>
      <c r="H4" s="3"/>
      <c r="I4" s="3"/>
    </row>
    <row r="5" customFormat="false" ht="30" hidden="false" customHeight="true" outlineLevel="0" collapsed="false">
      <c r="A5" s="4" t="s">
        <v>90</v>
      </c>
      <c r="B5" s="4" t="s">
        <v>91</v>
      </c>
      <c r="C5" s="4"/>
      <c r="D5" s="4"/>
      <c r="E5" s="4"/>
      <c r="F5" s="4"/>
      <c r="G5" s="4"/>
      <c r="H5" s="4"/>
      <c r="I5" s="4" t="s">
        <v>92</v>
      </c>
    </row>
    <row r="6" customFormat="false" ht="36" hidden="false" customHeight="true" outlineLevel="0" collapsed="false">
      <c r="A6" s="5" t="s">
        <v>93</v>
      </c>
      <c r="B6" s="14" t="s">
        <v>94</v>
      </c>
      <c r="C6" s="14"/>
      <c r="D6" s="14"/>
      <c r="E6" s="14"/>
      <c r="F6" s="14"/>
      <c r="G6" s="14"/>
      <c r="H6" s="14"/>
      <c r="I6" s="6" t="s">
        <v>95</v>
      </c>
    </row>
    <row r="7" customFormat="false" ht="36" hidden="false" customHeight="true" outlineLevel="0" collapsed="false">
      <c r="A7" s="5" t="s">
        <v>96</v>
      </c>
      <c r="B7" s="14" t="s">
        <v>97</v>
      </c>
      <c r="C7" s="14"/>
      <c r="D7" s="14"/>
      <c r="E7" s="14"/>
      <c r="F7" s="14"/>
      <c r="G7" s="14"/>
      <c r="H7" s="14"/>
      <c r="I7" s="6" t="s">
        <v>98</v>
      </c>
    </row>
    <row r="8" customFormat="false" ht="14.25" hidden="false" customHeight="false" outlineLevel="0" collapsed="false">
      <c r="A8" s="5" t="s">
        <v>99</v>
      </c>
      <c r="B8" s="14" t="s">
        <v>100</v>
      </c>
      <c r="C8" s="14"/>
      <c r="D8" s="14"/>
      <c r="E8" s="14"/>
      <c r="F8" s="14"/>
      <c r="G8" s="14"/>
      <c r="H8" s="14"/>
      <c r="I8" s="6" t="s">
        <v>101</v>
      </c>
    </row>
    <row r="9" customFormat="false" ht="14.25" hidden="false" customHeight="false" outlineLevel="0" collapsed="false">
      <c r="A9" s="5" t="s">
        <v>102</v>
      </c>
      <c r="B9" s="14" t="s">
        <v>103</v>
      </c>
      <c r="C9" s="14"/>
      <c r="D9" s="14"/>
      <c r="E9" s="14"/>
      <c r="F9" s="14"/>
      <c r="G9" s="14"/>
      <c r="H9" s="14"/>
      <c r="I9" s="6" t="s">
        <v>104</v>
      </c>
    </row>
    <row r="10" customFormat="false" ht="14.25" hidden="false" customHeight="false" outlineLevel="0" collapsed="false">
      <c r="A10" s="5" t="s">
        <v>105</v>
      </c>
      <c r="B10" s="14" t="s">
        <v>106</v>
      </c>
      <c r="C10" s="14"/>
      <c r="D10" s="14"/>
      <c r="E10" s="14"/>
      <c r="F10" s="14"/>
      <c r="G10" s="14"/>
      <c r="H10" s="14"/>
      <c r="I10" s="6"/>
    </row>
    <row r="11" customFormat="false" ht="14.25" hidden="false" customHeight="false" outlineLevel="0" collapsed="false">
      <c r="A11" s="5" t="s">
        <v>107</v>
      </c>
      <c r="B11" s="14" t="s">
        <v>108</v>
      </c>
      <c r="C11" s="14"/>
      <c r="D11" s="14"/>
      <c r="E11" s="14"/>
      <c r="F11" s="14"/>
      <c r="G11" s="14"/>
      <c r="H11" s="14"/>
      <c r="I11" s="6"/>
    </row>
    <row r="12" customFormat="false" ht="14.25" hidden="false" customHeight="false" outlineLevel="0" collapsed="false">
      <c r="A12" s="5" t="s">
        <v>109</v>
      </c>
      <c r="B12" s="14" t="s">
        <v>110</v>
      </c>
      <c r="C12" s="14"/>
      <c r="D12" s="14"/>
      <c r="E12" s="14"/>
      <c r="F12" s="14"/>
      <c r="G12" s="14"/>
      <c r="H12" s="14"/>
      <c r="I12" s="6"/>
    </row>
    <row r="13" customFormat="false" ht="14.25" hidden="false" customHeight="false" outlineLevel="0" collapsed="false">
      <c r="A13" s="5" t="s">
        <v>111</v>
      </c>
      <c r="B13" s="14" t="s">
        <v>112</v>
      </c>
      <c r="C13" s="14"/>
      <c r="D13" s="14"/>
      <c r="E13" s="14"/>
      <c r="F13" s="14"/>
      <c r="G13" s="14"/>
      <c r="H13" s="14"/>
      <c r="I13" s="6"/>
    </row>
    <row r="14" customFormat="false" ht="14.25" hidden="false" customHeight="false" outlineLevel="0" collapsed="false">
      <c r="A14" s="5" t="s">
        <v>113</v>
      </c>
      <c r="B14" s="14" t="s">
        <v>114</v>
      </c>
      <c r="C14" s="14"/>
      <c r="D14" s="14"/>
      <c r="E14" s="14"/>
      <c r="F14" s="14"/>
      <c r="G14" s="14"/>
      <c r="H14" s="14"/>
      <c r="I14" s="6"/>
    </row>
    <row r="15" customFormat="false" ht="36" hidden="false" customHeight="true" outlineLevel="0" collapsed="false">
      <c r="A15" s="5" t="s">
        <v>115</v>
      </c>
      <c r="B15" s="14" t="s">
        <v>116</v>
      </c>
      <c r="C15" s="14"/>
      <c r="D15" s="14"/>
      <c r="E15" s="14"/>
      <c r="F15" s="14"/>
      <c r="G15" s="14"/>
      <c r="H15" s="14"/>
      <c r="I15" s="6" t="s">
        <v>117</v>
      </c>
    </row>
    <row r="16" customFormat="false" ht="24" hidden="false" customHeight="true" outlineLevel="0" collapsed="false">
      <c r="A16" s="5" t="s">
        <v>118</v>
      </c>
      <c r="B16" s="14" t="s">
        <v>119</v>
      </c>
      <c r="C16" s="14"/>
      <c r="D16" s="14"/>
      <c r="E16" s="14"/>
      <c r="F16" s="14"/>
      <c r="G16" s="14"/>
      <c r="H16" s="14"/>
      <c r="I16" s="6" t="s">
        <v>120</v>
      </c>
    </row>
    <row r="17" customFormat="false" ht="14.25" hidden="false" customHeight="false" outlineLevel="0" collapsed="false">
      <c r="A17" s="5" t="s">
        <v>121</v>
      </c>
      <c r="B17" s="14" t="s">
        <v>122</v>
      </c>
      <c r="C17" s="14"/>
      <c r="D17" s="14"/>
      <c r="E17" s="14"/>
      <c r="F17" s="14"/>
      <c r="G17" s="14"/>
      <c r="H17" s="14"/>
      <c r="I17" s="6"/>
    </row>
    <row r="18" customFormat="false" ht="24" hidden="false" customHeight="true" outlineLevel="0" collapsed="false">
      <c r="A18" s="5" t="s">
        <v>123</v>
      </c>
      <c r="B18" s="14" t="s">
        <v>124</v>
      </c>
      <c r="C18" s="14"/>
      <c r="D18" s="14"/>
      <c r="E18" s="14"/>
      <c r="F18" s="14"/>
      <c r="G18" s="14"/>
      <c r="H18" s="14"/>
      <c r="I18" s="6" t="s">
        <v>125</v>
      </c>
    </row>
    <row r="19" customFormat="false" ht="14.25" hidden="false" customHeight="false" outlineLevel="0" collapsed="false">
      <c r="A19" s="5" t="s">
        <v>126</v>
      </c>
      <c r="B19" s="14" t="s">
        <v>127</v>
      </c>
      <c r="C19" s="14"/>
      <c r="D19" s="14"/>
      <c r="E19" s="14"/>
      <c r="F19" s="14"/>
      <c r="G19" s="14"/>
      <c r="H19" s="14"/>
      <c r="I19" s="6"/>
    </row>
    <row r="20" customFormat="false" ht="14.25" hidden="false" customHeight="false" outlineLevel="0" collapsed="false">
      <c r="A20" s="5" t="s">
        <v>128</v>
      </c>
      <c r="B20" s="14" t="s">
        <v>129</v>
      </c>
      <c r="C20" s="14"/>
      <c r="D20" s="14"/>
      <c r="E20" s="14"/>
      <c r="F20" s="14"/>
      <c r="G20" s="14"/>
      <c r="H20" s="14"/>
      <c r="I20" s="6" t="s">
        <v>130</v>
      </c>
    </row>
    <row r="21" customFormat="false" ht="14.25" hidden="false" customHeight="false" outlineLevel="0" collapsed="false">
      <c r="A21" s="5" t="s">
        <v>131</v>
      </c>
      <c r="B21" s="14" t="s">
        <v>129</v>
      </c>
      <c r="C21" s="14"/>
      <c r="D21" s="14"/>
      <c r="E21" s="14"/>
      <c r="F21" s="14"/>
      <c r="G21" s="14"/>
      <c r="H21" s="14"/>
      <c r="I21" s="6" t="s">
        <v>132</v>
      </c>
    </row>
    <row r="23" customFormat="false" ht="19.5" hidden="false" customHeight="true" outlineLevel="0" collapsed="false">
      <c r="A23" s="3" t="s">
        <v>133</v>
      </c>
      <c r="B23" s="3"/>
      <c r="C23" s="3"/>
      <c r="D23" s="3"/>
      <c r="E23" s="3"/>
      <c r="F23" s="3"/>
      <c r="G23" s="3"/>
      <c r="H23" s="3"/>
      <c r="I23" s="3"/>
    </row>
    <row r="24" customFormat="false" ht="30" hidden="false" customHeight="true" outlineLevel="0" collapsed="false">
      <c r="A24" s="4" t="s">
        <v>134</v>
      </c>
      <c r="B24" s="4" t="s">
        <v>135</v>
      </c>
      <c r="C24" s="4" t="s">
        <v>136</v>
      </c>
      <c r="D24" s="4"/>
      <c r="E24" s="4"/>
      <c r="F24" s="4"/>
      <c r="G24" s="4"/>
      <c r="H24" s="4"/>
      <c r="I24" s="4" t="s">
        <v>92</v>
      </c>
    </row>
    <row r="25" customFormat="false" ht="24" hidden="false" customHeight="true" outlineLevel="0" collapsed="false">
      <c r="A25" s="5" t="s">
        <v>137</v>
      </c>
      <c r="B25" s="14" t="s">
        <v>138</v>
      </c>
      <c r="C25" s="14" t="s">
        <v>139</v>
      </c>
      <c r="D25" s="14"/>
      <c r="E25" s="14"/>
      <c r="F25" s="14"/>
      <c r="G25" s="14"/>
      <c r="H25" s="14"/>
      <c r="I25" s="6" t="s">
        <v>140</v>
      </c>
    </row>
    <row r="26" customFormat="false" ht="14.25" hidden="false" customHeight="false" outlineLevel="0" collapsed="false">
      <c r="A26" s="5" t="s">
        <v>141</v>
      </c>
      <c r="B26" s="14" t="s">
        <v>142</v>
      </c>
      <c r="C26" s="14" t="s">
        <v>139</v>
      </c>
      <c r="D26" s="14"/>
      <c r="E26" s="14"/>
      <c r="F26" s="14"/>
      <c r="G26" s="14"/>
      <c r="H26" s="14"/>
      <c r="I26" s="6"/>
    </row>
    <row r="27" customFormat="false" ht="14.25" hidden="false" customHeight="false" outlineLevel="0" collapsed="false">
      <c r="A27" s="5" t="s">
        <v>143</v>
      </c>
      <c r="B27" s="14" t="s">
        <v>130</v>
      </c>
      <c r="C27" s="14" t="s">
        <v>144</v>
      </c>
      <c r="D27" s="14"/>
      <c r="E27" s="14"/>
      <c r="F27" s="14"/>
      <c r="G27" s="14"/>
      <c r="H27" s="14"/>
      <c r="I27" s="6"/>
    </row>
    <row r="28" customFormat="false" ht="24" hidden="false" customHeight="true" outlineLevel="0" collapsed="false">
      <c r="A28" s="5" t="s">
        <v>145</v>
      </c>
      <c r="B28" s="14" t="s">
        <v>146</v>
      </c>
      <c r="C28" s="14" t="s">
        <v>147</v>
      </c>
      <c r="D28" s="14"/>
      <c r="E28" s="14"/>
      <c r="F28" s="14"/>
      <c r="G28" s="14"/>
      <c r="H28" s="14"/>
      <c r="I28" s="6" t="s">
        <v>148</v>
      </c>
    </row>
    <row r="29" customFormat="false" ht="14.25" hidden="false" customHeight="false" outlineLevel="0" collapsed="false">
      <c r="A29" s="5" t="s">
        <v>149</v>
      </c>
      <c r="B29" s="14" t="s">
        <v>150</v>
      </c>
      <c r="C29" s="14" t="s">
        <v>139</v>
      </c>
      <c r="D29" s="14"/>
      <c r="E29" s="14"/>
      <c r="F29" s="14"/>
      <c r="G29" s="14"/>
      <c r="H29" s="14"/>
      <c r="I29" s="6"/>
    </row>
    <row r="30" customFormat="false" ht="25.5" hidden="false" customHeight="true" outlineLevel="0" collapsed="false">
      <c r="A30" s="7" t="s">
        <v>151</v>
      </c>
      <c r="B30" s="7"/>
      <c r="C30" s="7"/>
      <c r="D30" s="7"/>
      <c r="E30" s="7"/>
      <c r="F30" s="7"/>
      <c r="G30" s="7"/>
      <c r="H30" s="7"/>
      <c r="I30" s="7"/>
    </row>
    <row r="32" customFormat="false" ht="19.5" hidden="false" customHeight="true" outlineLevel="0" collapsed="false">
      <c r="A32" s="3" t="s">
        <v>152</v>
      </c>
      <c r="B32" s="3"/>
      <c r="C32" s="3"/>
      <c r="D32" s="3"/>
      <c r="E32" s="3"/>
      <c r="F32" s="3"/>
      <c r="G32" s="3"/>
      <c r="H32" s="3"/>
      <c r="I32" s="3"/>
    </row>
    <row r="33" customFormat="false" ht="30" hidden="false" customHeight="true" outlineLevel="0" collapsed="false">
      <c r="A33" s="4" t="s">
        <v>153</v>
      </c>
      <c r="B33" s="4" t="s">
        <v>154</v>
      </c>
      <c r="C33" s="4" t="s">
        <v>155</v>
      </c>
      <c r="D33" s="4" t="s">
        <v>156</v>
      </c>
      <c r="E33" s="4" t="s">
        <v>157</v>
      </c>
      <c r="F33" s="4" t="s">
        <v>158</v>
      </c>
      <c r="G33" s="4" t="s">
        <v>159</v>
      </c>
      <c r="H33" s="4" t="s">
        <v>160</v>
      </c>
      <c r="I33" s="4" t="s">
        <v>161</v>
      </c>
    </row>
    <row r="34" customFormat="false" ht="48" hidden="false" customHeight="true" outlineLevel="0" collapsed="false">
      <c r="A34" s="14" t="s">
        <v>162</v>
      </c>
      <c r="B34" s="14" t="s">
        <v>163</v>
      </c>
      <c r="C34" s="14" t="s">
        <v>164</v>
      </c>
      <c r="D34" s="15" t="n">
        <v>1</v>
      </c>
      <c r="E34" s="15" t="n">
        <v>2</v>
      </c>
      <c r="F34" s="15" t="n">
        <v>8</v>
      </c>
      <c r="G34" s="15" t="n">
        <v>100</v>
      </c>
      <c r="H34" s="15" t="n">
        <v>0</v>
      </c>
      <c r="I34" s="6" t="s">
        <v>165</v>
      </c>
    </row>
    <row r="35" customFormat="false" ht="24" hidden="false" customHeight="true" outlineLevel="0" collapsed="false">
      <c r="A35" s="14" t="s">
        <v>166</v>
      </c>
      <c r="B35" s="14" t="s">
        <v>167</v>
      </c>
      <c r="C35" s="14" t="s">
        <v>168</v>
      </c>
      <c r="D35" s="15" t="n">
        <v>1</v>
      </c>
      <c r="E35" s="15" t="n">
        <v>4</v>
      </c>
      <c r="F35" s="15" t="n">
        <v>16</v>
      </c>
      <c r="G35" s="15" t="n">
        <v>100</v>
      </c>
      <c r="H35" s="15" t="n">
        <v>100</v>
      </c>
      <c r="I35" s="6" t="s">
        <v>169</v>
      </c>
    </row>
    <row r="36" customFormat="false" ht="36" hidden="false" customHeight="true" outlineLevel="0" collapsed="false">
      <c r="A36" s="14" t="s">
        <v>166</v>
      </c>
      <c r="B36" s="14" t="s">
        <v>167</v>
      </c>
      <c r="C36" s="14" t="s">
        <v>170</v>
      </c>
      <c r="D36" s="15" t="n">
        <v>1</v>
      </c>
      <c r="E36" s="15" t="n">
        <v>8</v>
      </c>
      <c r="F36" s="15" t="n">
        <v>32</v>
      </c>
      <c r="G36" s="15" t="n">
        <v>100</v>
      </c>
      <c r="H36" s="15" t="n">
        <v>100</v>
      </c>
      <c r="I36" s="6" t="s">
        <v>171</v>
      </c>
    </row>
    <row r="37" customFormat="false" ht="14.25" hidden="false" customHeight="false" outlineLevel="0" collapsed="false">
      <c r="A37" s="14" t="s">
        <v>166</v>
      </c>
      <c r="B37" s="14" t="s">
        <v>172</v>
      </c>
      <c r="C37" s="14" t="s">
        <v>173</v>
      </c>
      <c r="D37" s="15" t="n">
        <v>1</v>
      </c>
      <c r="E37" s="15" t="n">
        <v>2</v>
      </c>
      <c r="F37" s="15" t="n">
        <v>8</v>
      </c>
      <c r="G37" s="15" t="n">
        <v>100</v>
      </c>
      <c r="H37" s="15" t="n">
        <v>100</v>
      </c>
      <c r="I37" s="6" t="s">
        <v>174</v>
      </c>
    </row>
    <row r="38" customFormat="false" ht="24" hidden="false" customHeight="true" outlineLevel="0" collapsed="false">
      <c r="A38" s="14" t="s">
        <v>175</v>
      </c>
      <c r="B38" s="14" t="s">
        <v>167</v>
      </c>
      <c r="C38" s="14" t="s">
        <v>176</v>
      </c>
      <c r="D38" s="15" t="n">
        <v>1</v>
      </c>
      <c r="E38" s="15" t="n">
        <v>2</v>
      </c>
      <c r="F38" s="15" t="n">
        <v>8</v>
      </c>
      <c r="G38" s="15" t="n">
        <v>100</v>
      </c>
      <c r="H38" s="15" t="n">
        <v>100</v>
      </c>
      <c r="I38" s="6" t="s">
        <v>177</v>
      </c>
    </row>
    <row r="39" customFormat="false" ht="24" hidden="false" customHeight="true" outlineLevel="0" collapsed="false">
      <c r="A39" s="14" t="s">
        <v>178</v>
      </c>
      <c r="B39" s="14" t="s">
        <v>167</v>
      </c>
      <c r="C39" s="14" t="s">
        <v>179</v>
      </c>
      <c r="D39" s="15" t="n">
        <v>1</v>
      </c>
      <c r="E39" s="15" t="n">
        <v>2</v>
      </c>
      <c r="F39" s="15" t="n">
        <v>8</v>
      </c>
      <c r="G39" s="15" t="n">
        <v>100</v>
      </c>
      <c r="H39" s="15" t="n">
        <v>100</v>
      </c>
      <c r="I39" s="6" t="s">
        <v>180</v>
      </c>
    </row>
    <row r="40" customFormat="false" ht="14.25" hidden="false" customHeight="false" outlineLevel="0" collapsed="false">
      <c r="A40" s="8" t="s">
        <v>181</v>
      </c>
      <c r="B40" s="9"/>
      <c r="C40" s="9" t="n">
        <f aca="false">SUMIF(A34:A39,"Prod Env.",D34:D39)</f>
        <v>3</v>
      </c>
      <c r="D40" s="16" t="n">
        <f aca="false">SUMPRODUCT((A34:A39="Prod Env.")*D34:D39*E34:E39)</f>
        <v>14</v>
      </c>
      <c r="E40" s="16" t="n">
        <f aca="false">SUMPRODUCT((A34:A39="Prod Env.")*D34:D39*F34:F39)</f>
        <v>56</v>
      </c>
      <c r="F40" s="16" t="n">
        <f aca="false">SUMPRODUCT((A34:A39="Prod Env.")*D34:D39*G34:G39)</f>
        <v>300</v>
      </c>
      <c r="G40" s="16" t="n">
        <f aca="false">SUMPRODUCT((A34:A39="Prod Env.")*D34:D39*H34:H39)</f>
        <v>300</v>
      </c>
      <c r="H40" s="16"/>
    </row>
    <row r="41" customFormat="false" ht="14.25" hidden="false" customHeight="false" outlineLevel="0" collapsed="false">
      <c r="A41" s="17" t="s">
        <v>182</v>
      </c>
      <c r="B41" s="18"/>
      <c r="C41" s="18" t="n">
        <f aca="false">SUM(D34:D39)</f>
        <v>6</v>
      </c>
      <c r="D41" s="19" t="n">
        <f aca="false">SUMPRODUCT(D34:D39,E34:E39)</f>
        <v>20</v>
      </c>
      <c r="E41" s="19" t="n">
        <f aca="false">SUMPRODUCT(D34:D39,F34:F39)</f>
        <v>80</v>
      </c>
      <c r="F41" s="19" t="n">
        <f aca="false">SUMPRODUCT(D34:D39,G34:G39)</f>
        <v>600</v>
      </c>
      <c r="G41" s="19" t="n">
        <f aca="false">SUMPRODUCT(D34:D39,H34:H39)</f>
        <v>500</v>
      </c>
      <c r="H41" s="19"/>
    </row>
    <row r="42" customFormat="false" ht="64.5" hidden="false" customHeight="true" outlineLevel="0" collapsed="false">
      <c r="A42" s="12" t="s">
        <v>183</v>
      </c>
      <c r="B42" s="12"/>
      <c r="C42" s="12"/>
      <c r="D42" s="12"/>
      <c r="E42" s="12"/>
      <c r="F42" s="12"/>
      <c r="G42" s="12"/>
      <c r="H42" s="12"/>
      <c r="I42" s="12"/>
    </row>
    <row r="44" customFormat="false" ht="19.5" hidden="false" customHeight="true" outlineLevel="0" collapsed="false">
      <c r="A44" s="3" t="s">
        <v>184</v>
      </c>
      <c r="B44" s="3"/>
      <c r="C44" s="3"/>
      <c r="D44" s="3"/>
      <c r="E44" s="3"/>
      <c r="F44" s="3"/>
      <c r="G44" s="3"/>
      <c r="H44" s="3"/>
      <c r="I44" s="3"/>
    </row>
    <row r="45" customFormat="false" ht="30" hidden="false" customHeight="true" outlineLevel="0" collapsed="false">
      <c r="A45" s="4" t="s">
        <v>153</v>
      </c>
      <c r="B45" s="4" t="s">
        <v>185</v>
      </c>
      <c r="C45" s="4" t="s">
        <v>186</v>
      </c>
      <c r="D45" s="4" t="s">
        <v>187</v>
      </c>
      <c r="E45" s="4" t="s">
        <v>188</v>
      </c>
      <c r="F45" s="4" t="s">
        <v>189</v>
      </c>
      <c r="G45" s="4" t="s">
        <v>190</v>
      </c>
      <c r="H45" s="4" t="s">
        <v>191</v>
      </c>
      <c r="I45" s="4" t="s">
        <v>92</v>
      </c>
    </row>
    <row r="46" customFormat="false" ht="60" hidden="false" customHeight="true" outlineLevel="0" collapsed="false">
      <c r="A46" s="14" t="s">
        <v>166</v>
      </c>
      <c r="B46" s="14" t="s">
        <v>192</v>
      </c>
      <c r="C46" s="14" t="s">
        <v>193</v>
      </c>
      <c r="D46" s="15" t="n">
        <v>1</v>
      </c>
      <c r="E46" s="15" t="n">
        <v>4</v>
      </c>
      <c r="F46" s="15" t="n">
        <v>8</v>
      </c>
      <c r="G46" s="15" t="n">
        <v>200</v>
      </c>
      <c r="H46" s="15" t="n">
        <v>3000</v>
      </c>
      <c r="I46" s="6" t="s">
        <v>194</v>
      </c>
    </row>
    <row r="47" customFormat="false" ht="60" hidden="false" customHeight="true" outlineLevel="0" collapsed="false">
      <c r="A47" s="14" t="s">
        <v>166</v>
      </c>
      <c r="B47" s="14" t="s">
        <v>195</v>
      </c>
      <c r="C47" s="14" t="s">
        <v>196</v>
      </c>
      <c r="D47" s="15" t="n">
        <v>1</v>
      </c>
      <c r="E47" s="15" t="n">
        <v>4</v>
      </c>
      <c r="F47" s="15" t="n">
        <v>1</v>
      </c>
      <c r="G47" s="15" t="n">
        <v>200</v>
      </c>
      <c r="H47" s="15" t="n">
        <v>1000</v>
      </c>
      <c r="I47" s="6" t="s">
        <v>197</v>
      </c>
    </row>
    <row r="48" customFormat="false" ht="14.25" hidden="false" customHeight="false" outlineLevel="0" collapsed="false">
      <c r="A48" s="14" t="s">
        <v>198</v>
      </c>
      <c r="B48" s="14" t="s">
        <v>192</v>
      </c>
      <c r="C48" s="14" t="s">
        <v>193</v>
      </c>
      <c r="D48" s="15" t="n">
        <v>1</v>
      </c>
      <c r="E48" s="15" t="n">
        <v>4</v>
      </c>
      <c r="F48" s="15" t="n">
        <v>2</v>
      </c>
      <c r="G48" s="15" t="n">
        <v>200</v>
      </c>
      <c r="H48" s="15" t="n">
        <v>1000</v>
      </c>
      <c r="I48" s="6" t="s">
        <v>199</v>
      </c>
    </row>
    <row r="49" customFormat="false" ht="24" hidden="false" customHeight="true" outlineLevel="0" collapsed="false">
      <c r="A49" s="14" t="s">
        <v>178</v>
      </c>
      <c r="B49" s="14" t="s">
        <v>192</v>
      </c>
      <c r="C49" s="14" t="s">
        <v>193</v>
      </c>
      <c r="D49" s="15" t="n">
        <v>1</v>
      </c>
      <c r="E49" s="15" t="n">
        <v>4</v>
      </c>
      <c r="F49" s="15" t="n">
        <v>8</v>
      </c>
      <c r="G49" s="15" t="n">
        <v>200</v>
      </c>
      <c r="H49" s="15" t="n">
        <v>1500</v>
      </c>
      <c r="I49" s="6" t="s">
        <v>200</v>
      </c>
    </row>
    <row r="50" customFormat="false" ht="14.25" hidden="false" customHeight="false" outlineLevel="0" collapsed="false">
      <c r="A50" s="8" t="s">
        <v>201</v>
      </c>
      <c r="B50" s="9"/>
      <c r="C50" s="9"/>
      <c r="D50" s="16" t="n">
        <f aca="false">SUMIF(A46:A49,"Prod Env.",D46:D49)</f>
        <v>2</v>
      </c>
      <c r="E50" s="16" t="n">
        <f aca="false">SUMIF(A46:A49,"Prod Env.",E46:E49)</f>
        <v>8</v>
      </c>
      <c r="F50" s="16" t="n">
        <f aca="false">SUMIF(A46:A49,"Prod Env.",F46:F49)</f>
        <v>9</v>
      </c>
      <c r="G50" s="16" t="n">
        <f aca="false">SUMIF(A46:A49,"Prod Env.",G46:G49)</f>
        <v>400</v>
      </c>
      <c r="H50" s="16" t="n">
        <f aca="false">SUMIF(A46:A49,"Prod Env.",H46:H49)</f>
        <v>4000</v>
      </c>
      <c r="I50" s="9"/>
    </row>
    <row r="52" customFormat="false" ht="19.5" hidden="false" customHeight="true" outlineLevel="0" collapsed="false">
      <c r="A52" s="3" t="s">
        <v>202</v>
      </c>
      <c r="B52" s="3"/>
      <c r="C52" s="3"/>
      <c r="D52" s="3"/>
      <c r="E52" s="3"/>
      <c r="F52" s="3"/>
      <c r="G52" s="3"/>
      <c r="H52" s="3"/>
      <c r="I52" s="3"/>
    </row>
    <row r="53" customFormat="false" ht="30" hidden="false" customHeight="true" outlineLevel="0" collapsed="false">
      <c r="A53" s="4" t="s">
        <v>153</v>
      </c>
      <c r="B53" s="4" t="s">
        <v>203</v>
      </c>
      <c r="C53" s="4" t="s">
        <v>204</v>
      </c>
      <c r="D53" s="4"/>
      <c r="E53" s="4"/>
      <c r="F53" s="4"/>
      <c r="G53" s="4"/>
      <c r="H53" s="4"/>
      <c r="I53" s="4" t="s">
        <v>92</v>
      </c>
    </row>
    <row r="54" customFormat="false" ht="14.25" hidden="false" customHeight="false" outlineLevel="0" collapsed="false">
      <c r="A54" s="5" t="s">
        <v>166</v>
      </c>
      <c r="B54" s="14" t="s">
        <v>205</v>
      </c>
      <c r="C54" s="15" t="n">
        <v>1000</v>
      </c>
      <c r="D54" s="14"/>
      <c r="E54" s="14"/>
      <c r="F54" s="14"/>
      <c r="G54" s="14"/>
      <c r="H54" s="14"/>
      <c r="I54" s="6" t="s">
        <v>206</v>
      </c>
    </row>
    <row r="55" customFormat="false" ht="14.25" hidden="false" customHeight="false" outlineLevel="0" collapsed="false">
      <c r="A55" s="5" t="s">
        <v>166</v>
      </c>
      <c r="B55" s="14" t="s">
        <v>207</v>
      </c>
      <c r="C55" s="15" t="n">
        <v>100</v>
      </c>
      <c r="D55" s="14"/>
      <c r="E55" s="14"/>
      <c r="F55" s="14"/>
      <c r="G55" s="14"/>
      <c r="H55" s="14"/>
      <c r="I55" s="6"/>
    </row>
    <row r="56" customFormat="false" ht="14.25" hidden="false" customHeight="false" outlineLevel="0" collapsed="false">
      <c r="A56" s="5" t="s">
        <v>178</v>
      </c>
      <c r="B56" s="14" t="s">
        <v>205</v>
      </c>
      <c r="C56" s="15" t="n">
        <v>1000</v>
      </c>
      <c r="D56" s="14"/>
      <c r="E56" s="14"/>
      <c r="F56" s="14"/>
      <c r="G56" s="14"/>
      <c r="H56" s="14"/>
      <c r="I56" s="6"/>
    </row>
    <row r="57" customFormat="false" ht="36" hidden="false" customHeight="true" outlineLevel="0" collapsed="false">
      <c r="A57" s="5" t="s">
        <v>166</v>
      </c>
      <c r="B57" s="14" t="s">
        <v>208</v>
      </c>
      <c r="C57" s="15" t="n">
        <v>2000</v>
      </c>
      <c r="D57" s="14"/>
      <c r="E57" s="14"/>
      <c r="F57" s="14"/>
      <c r="G57" s="14"/>
      <c r="H57" s="14"/>
      <c r="I57" s="6" t="s">
        <v>209</v>
      </c>
    </row>
    <row r="58" customFormat="false" ht="14.25" hidden="false" customHeight="false" outlineLevel="0" collapsed="false">
      <c r="A58" s="5" t="s">
        <v>178</v>
      </c>
      <c r="B58" s="14" t="s">
        <v>208</v>
      </c>
      <c r="C58" s="15" t="n">
        <v>1000</v>
      </c>
      <c r="D58" s="14"/>
      <c r="E58" s="14"/>
      <c r="F58" s="14"/>
      <c r="G58" s="14"/>
      <c r="H58" s="14"/>
      <c r="I58" s="6"/>
    </row>
    <row r="59" customFormat="false" ht="14.25" hidden="false" customHeight="false" outlineLevel="0" collapsed="false">
      <c r="A59" s="8" t="s">
        <v>210</v>
      </c>
      <c r="B59" s="9"/>
      <c r="C59" s="16" t="n">
        <f aca="false">SUM(C54:C58)</f>
        <v>5100</v>
      </c>
      <c r="D59" s="9"/>
      <c r="E59" s="9"/>
      <c r="F59" s="9"/>
      <c r="G59" s="9"/>
      <c r="H59" s="9"/>
      <c r="I59" s="9"/>
    </row>
    <row r="61" customFormat="false" ht="19.5" hidden="false" customHeight="true" outlineLevel="0" collapsed="false">
      <c r="A61" s="3" t="s">
        <v>211</v>
      </c>
      <c r="B61" s="3"/>
      <c r="C61" s="3"/>
      <c r="D61" s="3"/>
      <c r="E61" s="3"/>
      <c r="F61" s="3"/>
      <c r="G61" s="3"/>
      <c r="H61" s="3"/>
      <c r="I61" s="3"/>
    </row>
    <row r="62" customFormat="false" ht="30" hidden="false" customHeight="true" outlineLevel="0" collapsed="false">
      <c r="A62" s="4" t="s">
        <v>212</v>
      </c>
      <c r="B62" s="4" t="s">
        <v>213</v>
      </c>
      <c r="C62" s="4" t="s">
        <v>214</v>
      </c>
      <c r="D62" s="4" t="s">
        <v>215</v>
      </c>
      <c r="E62" s="4"/>
      <c r="F62" s="4"/>
      <c r="G62" s="4"/>
      <c r="H62" s="4"/>
      <c r="I62" s="4" t="s">
        <v>92</v>
      </c>
    </row>
    <row r="63" customFormat="false" ht="24" hidden="false" customHeight="true" outlineLevel="0" collapsed="false">
      <c r="A63" s="5" t="s">
        <v>216</v>
      </c>
      <c r="B63" s="14" t="s">
        <v>217</v>
      </c>
      <c r="C63" s="14" t="n">
        <v>1</v>
      </c>
      <c r="D63" s="14" t="n">
        <v>1</v>
      </c>
      <c r="E63" s="14"/>
      <c r="F63" s="14"/>
      <c r="G63" s="14"/>
      <c r="H63" s="14"/>
      <c r="I63" s="6" t="s">
        <v>218</v>
      </c>
    </row>
    <row r="64" customFormat="false" ht="14.25" hidden="false" customHeight="false" outlineLevel="0" collapsed="false">
      <c r="A64" s="5" t="s">
        <v>219</v>
      </c>
      <c r="B64" s="14" t="s">
        <v>217</v>
      </c>
      <c r="C64" s="14" t="n">
        <v>10</v>
      </c>
      <c r="D64" s="14" t="s">
        <v>220</v>
      </c>
      <c r="E64" s="14"/>
      <c r="F64" s="14"/>
      <c r="G64" s="14"/>
      <c r="H64" s="14"/>
      <c r="I64" s="6" t="s">
        <v>221</v>
      </c>
    </row>
    <row r="65" customFormat="false" ht="14.25" hidden="false" customHeight="false" outlineLevel="0" collapsed="false">
      <c r="A65" s="5" t="s">
        <v>222</v>
      </c>
      <c r="B65" s="14" t="s">
        <v>223</v>
      </c>
      <c r="C65" s="14" t="n">
        <v>1</v>
      </c>
      <c r="D65" s="14" t="n">
        <v>1</v>
      </c>
      <c r="E65" s="14"/>
      <c r="F65" s="14"/>
      <c r="G65" s="14"/>
      <c r="H65" s="14"/>
      <c r="I65" s="6"/>
    </row>
    <row r="66" customFormat="false" ht="24" hidden="false" customHeight="true" outlineLevel="0" collapsed="false">
      <c r="A66" s="5" t="s">
        <v>224</v>
      </c>
      <c r="B66" s="14" t="s">
        <v>225</v>
      </c>
      <c r="C66" s="14" t="s">
        <v>226</v>
      </c>
      <c r="D66" s="14" t="s">
        <v>226</v>
      </c>
      <c r="E66" s="14"/>
      <c r="F66" s="14"/>
      <c r="G66" s="14"/>
      <c r="H66" s="14"/>
      <c r="I66" s="6" t="s">
        <v>227</v>
      </c>
    </row>
    <row r="67" customFormat="false" ht="14.25" hidden="false" customHeight="false" outlineLevel="0" collapsed="false">
      <c r="A67" s="5" t="s">
        <v>228</v>
      </c>
      <c r="B67" s="14" t="s">
        <v>187</v>
      </c>
      <c r="C67" s="14" t="s">
        <v>229</v>
      </c>
      <c r="D67" s="14" t="s">
        <v>230</v>
      </c>
      <c r="E67" s="14"/>
      <c r="F67" s="14"/>
      <c r="G67" s="14"/>
      <c r="H67" s="14"/>
      <c r="I67" s="6"/>
    </row>
    <row r="69" customFormat="false" ht="19.5" hidden="false" customHeight="true" outlineLevel="0" collapsed="false">
      <c r="A69" s="3" t="s">
        <v>231</v>
      </c>
      <c r="B69" s="3"/>
      <c r="C69" s="3"/>
      <c r="D69" s="3"/>
      <c r="E69" s="3"/>
      <c r="F69" s="3"/>
      <c r="G69" s="3"/>
      <c r="H69" s="3"/>
      <c r="I69" s="3"/>
    </row>
    <row r="70" customFormat="false" ht="30" hidden="false" customHeight="true" outlineLevel="0" collapsed="false">
      <c r="A70" s="4" t="s">
        <v>212</v>
      </c>
      <c r="B70" s="4" t="s">
        <v>213</v>
      </c>
      <c r="C70" s="4" t="s">
        <v>214</v>
      </c>
      <c r="D70" s="4" t="s">
        <v>232</v>
      </c>
      <c r="E70" s="4" t="s">
        <v>215</v>
      </c>
      <c r="F70" s="4"/>
      <c r="G70" s="4"/>
      <c r="H70" s="4"/>
      <c r="I70" s="4" t="s">
        <v>92</v>
      </c>
    </row>
    <row r="71" customFormat="false" ht="14.25" hidden="false" customHeight="false" outlineLevel="0" collapsed="false">
      <c r="A71" s="5" t="s">
        <v>233</v>
      </c>
      <c r="B71" s="14" t="s">
        <v>234</v>
      </c>
      <c r="C71" s="14" t="s">
        <v>235</v>
      </c>
      <c r="D71" s="14" t="s">
        <v>236</v>
      </c>
      <c r="E71" s="14" t="s">
        <v>236</v>
      </c>
      <c r="F71" s="14"/>
      <c r="G71" s="14"/>
      <c r="H71" s="14"/>
      <c r="I71" s="6" t="s">
        <v>237</v>
      </c>
    </row>
    <row r="72" customFormat="false" ht="14.25" hidden="false" customHeight="false" outlineLevel="0" collapsed="false">
      <c r="A72" s="5" t="s">
        <v>238</v>
      </c>
      <c r="B72" s="14" t="s">
        <v>234</v>
      </c>
      <c r="C72" s="14" t="s">
        <v>235</v>
      </c>
      <c r="D72" s="14" t="s">
        <v>236</v>
      </c>
      <c r="E72" s="14" t="s">
        <v>236</v>
      </c>
      <c r="F72" s="14"/>
      <c r="G72" s="14"/>
      <c r="H72" s="14"/>
      <c r="I72" s="6" t="s">
        <v>239</v>
      </c>
    </row>
    <row r="73" customFormat="false" ht="14.25" hidden="false" customHeight="false" outlineLevel="0" collapsed="false">
      <c r="A73" s="5" t="s">
        <v>240</v>
      </c>
      <c r="B73" s="14" t="s">
        <v>234</v>
      </c>
      <c r="C73" s="14" t="s">
        <v>241</v>
      </c>
      <c r="D73" s="14" t="s">
        <v>242</v>
      </c>
      <c r="E73" s="14" t="s">
        <v>236</v>
      </c>
      <c r="F73" s="14"/>
      <c r="G73" s="14"/>
      <c r="H73" s="14"/>
      <c r="I73" s="6" t="s">
        <v>243</v>
      </c>
    </row>
    <row r="74" customFormat="false" ht="14.25" hidden="false" customHeight="false" outlineLevel="0" collapsed="false">
      <c r="A74" s="5" t="s">
        <v>244</v>
      </c>
      <c r="B74" s="14" t="s">
        <v>234</v>
      </c>
      <c r="C74" s="14" t="s">
        <v>241</v>
      </c>
      <c r="D74" s="14" t="s">
        <v>242</v>
      </c>
      <c r="E74" s="14" t="s">
        <v>242</v>
      </c>
      <c r="F74" s="14"/>
      <c r="G74" s="14"/>
      <c r="H74" s="14"/>
      <c r="I74" s="6" t="s">
        <v>245</v>
      </c>
    </row>
    <row r="75" customFormat="false" ht="14.25" hidden="false" customHeight="false" outlineLevel="0" collapsed="false">
      <c r="A75" s="5" t="s">
        <v>246</v>
      </c>
      <c r="B75" s="14" t="s">
        <v>247</v>
      </c>
      <c r="C75" s="14" t="s">
        <v>248</v>
      </c>
      <c r="D75" s="14"/>
      <c r="E75" s="14"/>
      <c r="F75" s="14"/>
      <c r="G75" s="14"/>
      <c r="H75" s="14"/>
      <c r="I75" s="6" t="s">
        <v>249</v>
      </c>
    </row>
    <row r="76" customFormat="false" ht="14.25" hidden="false" customHeight="false" outlineLevel="0" collapsed="false">
      <c r="A76" s="5" t="s">
        <v>250</v>
      </c>
      <c r="B76" s="14" t="s">
        <v>251</v>
      </c>
      <c r="C76" s="14" t="s">
        <v>252</v>
      </c>
      <c r="D76" s="14"/>
      <c r="E76" s="14"/>
      <c r="F76" s="14"/>
      <c r="G76" s="14"/>
      <c r="H76" s="14"/>
      <c r="I76" s="6" t="s">
        <v>253</v>
      </c>
    </row>
    <row r="77" customFormat="false" ht="14.25" hidden="false" customHeight="false" outlineLevel="0" collapsed="false">
      <c r="A77" s="5" t="s">
        <v>254</v>
      </c>
      <c r="B77" s="14" t="s">
        <v>255</v>
      </c>
      <c r="C77" s="14" t="s">
        <v>129</v>
      </c>
      <c r="D77" s="14" t="s">
        <v>242</v>
      </c>
      <c r="E77" s="14" t="s">
        <v>242</v>
      </c>
      <c r="F77" s="14"/>
      <c r="G77" s="14"/>
      <c r="H77" s="14"/>
      <c r="I77" s="6" t="s">
        <v>256</v>
      </c>
    </row>
    <row r="78" customFormat="false" ht="14.25" hidden="false" customHeight="false" outlineLevel="0" collapsed="false">
      <c r="A78" s="5" t="s">
        <v>257</v>
      </c>
      <c r="B78" s="14" t="s">
        <v>258</v>
      </c>
      <c r="C78" s="14" t="s">
        <v>259</v>
      </c>
      <c r="D78" s="14" t="s">
        <v>260</v>
      </c>
      <c r="E78" s="14" t="s">
        <v>260</v>
      </c>
      <c r="F78" s="14"/>
      <c r="G78" s="14"/>
      <c r="H78" s="14"/>
      <c r="I78" s="6" t="s">
        <v>261</v>
      </c>
    </row>
    <row r="79" customFormat="false" ht="14.25" hidden="false" customHeight="false" outlineLevel="0" collapsed="false">
      <c r="A79" s="5" t="s">
        <v>262</v>
      </c>
      <c r="B79" s="14" t="s">
        <v>258</v>
      </c>
      <c r="C79" s="14" t="s">
        <v>260</v>
      </c>
      <c r="D79" s="14" t="s">
        <v>260</v>
      </c>
      <c r="E79" s="14" t="s">
        <v>260</v>
      </c>
      <c r="F79" s="14"/>
      <c r="G79" s="14"/>
      <c r="H79" s="14"/>
      <c r="I79" s="6" t="s">
        <v>263</v>
      </c>
    </row>
    <row r="80" customFormat="false" ht="14.25" hidden="false" customHeight="false" outlineLevel="0" collapsed="false">
      <c r="A80" s="5" t="s">
        <v>264</v>
      </c>
      <c r="B80" s="14" t="s">
        <v>265</v>
      </c>
      <c r="C80" s="14" t="s">
        <v>241</v>
      </c>
      <c r="D80" s="14" t="s">
        <v>266</v>
      </c>
      <c r="E80" s="14" t="s">
        <v>236</v>
      </c>
      <c r="F80" s="14"/>
      <c r="G80" s="14"/>
      <c r="H80" s="14"/>
      <c r="I80" s="6"/>
    </row>
    <row r="82" customFormat="false" ht="19.5" hidden="false" customHeight="true" outlineLevel="0" collapsed="false">
      <c r="A82" s="3" t="s">
        <v>267</v>
      </c>
      <c r="B82" s="3"/>
      <c r="C82" s="3"/>
      <c r="D82" s="3"/>
      <c r="E82" s="3"/>
      <c r="F82" s="3"/>
      <c r="G82" s="3"/>
      <c r="H82" s="3"/>
      <c r="I82" s="3"/>
    </row>
    <row r="83" customFormat="false" ht="30" hidden="false" customHeight="true" outlineLevel="0" collapsed="false">
      <c r="A83" s="4" t="s">
        <v>90</v>
      </c>
      <c r="B83" s="4" t="s">
        <v>91</v>
      </c>
      <c r="C83" s="4"/>
      <c r="D83" s="4"/>
      <c r="E83" s="4"/>
      <c r="F83" s="4"/>
      <c r="G83" s="4"/>
      <c r="H83" s="4"/>
      <c r="I83" s="4" t="s">
        <v>92</v>
      </c>
    </row>
    <row r="84" customFormat="false" ht="24" hidden="false" customHeight="true" outlineLevel="0" collapsed="false">
      <c r="A84" s="5" t="s">
        <v>268</v>
      </c>
      <c r="B84" s="14" t="s">
        <v>269</v>
      </c>
      <c r="C84" s="14"/>
      <c r="D84" s="14"/>
      <c r="E84" s="14"/>
      <c r="F84" s="14"/>
      <c r="G84" s="14"/>
      <c r="H84" s="14"/>
      <c r="I84" s="6" t="s">
        <v>270</v>
      </c>
    </row>
    <row r="85" customFormat="false" ht="14.25" hidden="false" customHeight="false" outlineLevel="0" collapsed="false">
      <c r="A85" s="5" t="s">
        <v>271</v>
      </c>
      <c r="B85" s="14" t="s">
        <v>272</v>
      </c>
      <c r="C85" s="14"/>
      <c r="D85" s="14"/>
      <c r="E85" s="14"/>
      <c r="F85" s="14"/>
      <c r="G85" s="14"/>
      <c r="H85" s="14"/>
      <c r="I85" s="6"/>
    </row>
    <row r="86" customFormat="false" ht="14.25" hidden="false" customHeight="false" outlineLevel="0" collapsed="false">
      <c r="A86" s="5" t="s">
        <v>273</v>
      </c>
      <c r="B86" s="14" t="s">
        <v>274</v>
      </c>
      <c r="C86" s="14"/>
      <c r="D86" s="14"/>
      <c r="E86" s="14"/>
      <c r="F86" s="14"/>
      <c r="G86" s="14"/>
      <c r="H86" s="14"/>
      <c r="I86" s="6"/>
    </row>
    <row r="87" customFormat="false" ht="24" hidden="false" customHeight="true" outlineLevel="0" collapsed="false">
      <c r="A87" s="5" t="s">
        <v>275</v>
      </c>
      <c r="B87" s="14" t="s">
        <v>276</v>
      </c>
      <c r="C87" s="14"/>
      <c r="D87" s="14"/>
      <c r="E87" s="14"/>
      <c r="F87" s="14"/>
      <c r="G87" s="14"/>
      <c r="H87" s="14"/>
      <c r="I87" s="6" t="s">
        <v>277</v>
      </c>
    </row>
    <row r="88" customFormat="false" ht="14.25" hidden="false" customHeight="false" outlineLevel="0" collapsed="false">
      <c r="A88" s="5" t="s">
        <v>278</v>
      </c>
      <c r="B88" s="14" t="s">
        <v>279</v>
      </c>
      <c r="C88" s="14"/>
      <c r="D88" s="14"/>
      <c r="E88" s="14"/>
      <c r="F88" s="14"/>
      <c r="G88" s="14"/>
      <c r="H88" s="14"/>
      <c r="I88" s="6"/>
    </row>
    <row r="89" customFormat="false" ht="14.25" hidden="false" customHeight="false" outlineLevel="0" collapsed="false">
      <c r="A89" s="5" t="s">
        <v>280</v>
      </c>
      <c r="B89" s="14" t="s">
        <v>281</v>
      </c>
      <c r="C89" s="14"/>
      <c r="D89" s="14"/>
      <c r="E89" s="14"/>
      <c r="F89" s="14"/>
      <c r="G89" s="14"/>
      <c r="H89" s="14"/>
      <c r="I89" s="6"/>
    </row>
    <row r="90" customFormat="false" ht="24" hidden="false" customHeight="true" outlineLevel="0" collapsed="false">
      <c r="A90" s="5" t="s">
        <v>282</v>
      </c>
      <c r="B90" s="14" t="s">
        <v>283</v>
      </c>
      <c r="C90" s="14"/>
      <c r="D90" s="14"/>
      <c r="E90" s="14"/>
      <c r="F90" s="14"/>
      <c r="G90" s="14"/>
      <c r="H90" s="14"/>
      <c r="I90" s="6" t="s">
        <v>284</v>
      </c>
    </row>
    <row r="92" customFormat="false" ht="25.5" hidden="false" customHeight="true" outlineLevel="0" collapsed="false">
      <c r="A92" s="7" t="s">
        <v>285</v>
      </c>
      <c r="B92" s="7"/>
      <c r="C92" s="7"/>
      <c r="D92" s="7"/>
      <c r="E92" s="7"/>
      <c r="F92" s="7"/>
      <c r="G92" s="7"/>
      <c r="H92" s="7"/>
      <c r="I92" s="7"/>
    </row>
  </sheetData>
  <mergeCells count="61">
    <mergeCell ref="A1:I1"/>
    <mergeCell ref="A2:I2"/>
    <mergeCell ref="A4:I4"/>
    <mergeCell ref="B6:H6"/>
    <mergeCell ref="B7:H7"/>
    <mergeCell ref="B8:H8"/>
    <mergeCell ref="B9:H9"/>
    <mergeCell ref="B10:H10"/>
    <mergeCell ref="B11:H11"/>
    <mergeCell ref="B12:H12"/>
    <mergeCell ref="B13:H13"/>
    <mergeCell ref="B14:H14"/>
    <mergeCell ref="B15:H15"/>
    <mergeCell ref="B16:H16"/>
    <mergeCell ref="B17:H17"/>
    <mergeCell ref="B18:H18"/>
    <mergeCell ref="B19:H19"/>
    <mergeCell ref="B20:H20"/>
    <mergeCell ref="B21:H21"/>
    <mergeCell ref="A23:I23"/>
    <mergeCell ref="C25:H25"/>
    <mergeCell ref="C26:H26"/>
    <mergeCell ref="C27:H27"/>
    <mergeCell ref="C28:H28"/>
    <mergeCell ref="C29:H29"/>
    <mergeCell ref="A30:I30"/>
    <mergeCell ref="A32:I32"/>
    <mergeCell ref="A42:I42"/>
    <mergeCell ref="A44:I44"/>
    <mergeCell ref="A52:I52"/>
    <mergeCell ref="D54:H54"/>
    <mergeCell ref="D55:H55"/>
    <mergeCell ref="D56:H56"/>
    <mergeCell ref="D57:H57"/>
    <mergeCell ref="D58:H58"/>
    <mergeCell ref="A61:I61"/>
    <mergeCell ref="E63:H63"/>
    <mergeCell ref="E64:H64"/>
    <mergeCell ref="E65:H65"/>
    <mergeCell ref="E66:H66"/>
    <mergeCell ref="E67:H67"/>
    <mergeCell ref="A69:I69"/>
    <mergeCell ref="F71:H71"/>
    <mergeCell ref="F72:H72"/>
    <mergeCell ref="F73:H73"/>
    <mergeCell ref="F74:H74"/>
    <mergeCell ref="F75:H75"/>
    <mergeCell ref="F76:H76"/>
    <mergeCell ref="F77:H77"/>
    <mergeCell ref="F78:H78"/>
    <mergeCell ref="F79:H79"/>
    <mergeCell ref="F80:H80"/>
    <mergeCell ref="A82:I82"/>
    <mergeCell ref="B84:H84"/>
    <mergeCell ref="B85:H85"/>
    <mergeCell ref="B86:H86"/>
    <mergeCell ref="B87:H87"/>
    <mergeCell ref="B88:H88"/>
    <mergeCell ref="B89:H89"/>
    <mergeCell ref="B90:H90"/>
    <mergeCell ref="A92:I9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37" activePane="bottomLeft" state="frozen"/>
      <selection pane="topLeft" activeCell="A1" activeCellId="0" sqref="A1"/>
      <selection pane="bottomLeft" activeCell="A1" activeCellId="0" sqref="A1"/>
    </sheetView>
  </sheetViews>
  <sheetFormatPr defaultColWidth="8.59765625" defaultRowHeight="14.25" customHeight="false"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3"/>
    <col collapsed="false" customWidth="true" hidden="false" outlineLevel="0" max="8" min="4" style="0" width="12"/>
    <col collapsed="false" customWidth="true" hidden="false" outlineLevel="0" max="9" min="9" style="0" width="40"/>
  </cols>
  <sheetData>
    <row r="1" customFormat="false" ht="25.5" hidden="false" customHeight="true" outlineLevel="0" collapsed="false">
      <c r="A1" s="1" t="s">
        <v>286</v>
      </c>
      <c r="B1" s="1"/>
      <c r="C1" s="1"/>
      <c r="D1" s="1"/>
      <c r="E1" s="1"/>
      <c r="F1" s="1"/>
      <c r="G1" s="1"/>
      <c r="H1" s="1"/>
      <c r="I1" s="1"/>
    </row>
    <row r="2" customFormat="false" ht="25.5" hidden="false" customHeight="true" outlineLevel="0" collapsed="false">
      <c r="A2" s="2" t="s">
        <v>287</v>
      </c>
      <c r="B2" s="2"/>
      <c r="C2" s="2"/>
      <c r="D2" s="2"/>
      <c r="E2" s="2"/>
      <c r="F2" s="2"/>
      <c r="G2" s="2"/>
      <c r="H2" s="2"/>
      <c r="I2" s="2"/>
    </row>
    <row r="4" customFormat="false" ht="19.5" hidden="false" customHeight="true" outlineLevel="0" collapsed="false">
      <c r="A4" s="3" t="s">
        <v>288</v>
      </c>
      <c r="B4" s="3"/>
      <c r="C4" s="3"/>
      <c r="D4" s="3"/>
      <c r="E4" s="3"/>
      <c r="F4" s="3"/>
      <c r="G4" s="3"/>
      <c r="H4" s="3"/>
      <c r="I4" s="3"/>
    </row>
    <row r="5" customFormat="false" ht="30" hidden="false" customHeight="true" outlineLevel="0" collapsed="false">
      <c r="A5" s="4" t="s">
        <v>90</v>
      </c>
      <c r="B5" s="4" t="s">
        <v>289</v>
      </c>
      <c r="C5" s="4"/>
      <c r="D5" s="4"/>
      <c r="E5" s="4"/>
      <c r="F5" s="4"/>
      <c r="G5" s="4"/>
      <c r="H5" s="4"/>
      <c r="I5" s="4" t="s">
        <v>290</v>
      </c>
    </row>
    <row r="6" customFormat="false" ht="14.25" hidden="false" customHeight="false" outlineLevel="0" collapsed="false">
      <c r="A6" s="5" t="s">
        <v>291</v>
      </c>
      <c r="B6" s="14" t="s">
        <v>292</v>
      </c>
      <c r="C6" s="14"/>
      <c r="D6" s="14"/>
      <c r="E6" s="14"/>
      <c r="F6" s="14"/>
      <c r="G6" s="14"/>
      <c r="H6" s="14"/>
      <c r="I6" s="6" t="s">
        <v>293</v>
      </c>
    </row>
    <row r="7" customFormat="false" ht="14.25" hidden="false" customHeight="false" outlineLevel="0" collapsed="false">
      <c r="A7" s="5" t="s">
        <v>294</v>
      </c>
      <c r="B7" s="14" t="s">
        <v>295</v>
      </c>
      <c r="C7" s="14"/>
      <c r="D7" s="14"/>
      <c r="E7" s="14"/>
      <c r="F7" s="14"/>
      <c r="G7" s="14"/>
      <c r="H7" s="14"/>
      <c r="I7" s="6" t="s">
        <v>296</v>
      </c>
    </row>
    <row r="8" customFormat="false" ht="14.25" hidden="false" customHeight="false" outlineLevel="0" collapsed="false">
      <c r="A8" s="5" t="s">
        <v>297</v>
      </c>
      <c r="B8" s="14" t="s">
        <v>298</v>
      </c>
      <c r="C8" s="14"/>
      <c r="D8" s="14"/>
      <c r="E8" s="14"/>
      <c r="F8" s="14"/>
      <c r="G8" s="14"/>
      <c r="H8" s="14"/>
      <c r="I8" s="6" t="s">
        <v>299</v>
      </c>
    </row>
    <row r="9" customFormat="false" ht="14.25" hidden="false" customHeight="false" outlineLevel="0" collapsed="false">
      <c r="A9" s="5" t="s">
        <v>300</v>
      </c>
      <c r="B9" s="14" t="s">
        <v>301</v>
      </c>
      <c r="C9" s="14"/>
      <c r="D9" s="14"/>
      <c r="E9" s="14"/>
      <c r="F9" s="14"/>
      <c r="G9" s="14"/>
      <c r="H9" s="14"/>
      <c r="I9" s="6" t="s">
        <v>302</v>
      </c>
    </row>
    <row r="10" customFormat="false" ht="14.25" hidden="false" customHeight="false" outlineLevel="0" collapsed="false">
      <c r="A10" s="5" t="s">
        <v>303</v>
      </c>
      <c r="B10" s="14" t="s">
        <v>304</v>
      </c>
      <c r="C10" s="14"/>
      <c r="D10" s="14"/>
      <c r="E10" s="14"/>
      <c r="F10" s="14"/>
      <c r="G10" s="14"/>
      <c r="H10" s="14"/>
      <c r="I10" s="6" t="s">
        <v>305</v>
      </c>
    </row>
    <row r="11" customFormat="false" ht="14.25" hidden="false" customHeight="false" outlineLevel="0" collapsed="false">
      <c r="A11" s="5" t="s">
        <v>306</v>
      </c>
      <c r="B11" s="14" t="s">
        <v>307</v>
      </c>
      <c r="C11" s="14"/>
      <c r="D11" s="14"/>
      <c r="E11" s="14"/>
      <c r="F11" s="14"/>
      <c r="G11" s="14"/>
      <c r="H11" s="14"/>
      <c r="I11" s="6" t="s">
        <v>308</v>
      </c>
    </row>
    <row r="12" customFormat="false" ht="14.25" hidden="false" customHeight="false" outlineLevel="0" collapsed="false">
      <c r="A12" s="5" t="s">
        <v>309</v>
      </c>
      <c r="B12" s="14" t="s">
        <v>310</v>
      </c>
      <c r="C12" s="14"/>
      <c r="D12" s="14"/>
      <c r="E12" s="14"/>
      <c r="F12" s="14"/>
      <c r="G12" s="14"/>
      <c r="H12" s="14"/>
      <c r="I12" s="6" t="s">
        <v>311</v>
      </c>
    </row>
    <row r="13" customFormat="false" ht="14.25" hidden="false" customHeight="false" outlineLevel="0" collapsed="false">
      <c r="A13" s="5" t="s">
        <v>312</v>
      </c>
      <c r="B13" s="14" t="s">
        <v>313</v>
      </c>
      <c r="C13" s="14"/>
      <c r="D13" s="14"/>
      <c r="E13" s="14"/>
      <c r="F13" s="14"/>
      <c r="G13" s="14"/>
      <c r="H13" s="14"/>
      <c r="I13" s="6" t="s">
        <v>314</v>
      </c>
    </row>
    <row r="15" customFormat="false" ht="19.5" hidden="false" customHeight="true" outlineLevel="0" collapsed="false">
      <c r="A15" s="20" t="s">
        <v>315</v>
      </c>
      <c r="B15" s="20"/>
      <c r="C15" s="20"/>
      <c r="D15" s="20"/>
      <c r="E15" s="20"/>
      <c r="F15" s="20"/>
      <c r="G15" s="20"/>
      <c r="H15" s="20"/>
      <c r="I15" s="20"/>
    </row>
    <row r="16" customFormat="false" ht="39" hidden="false" customHeight="true" outlineLevel="0" collapsed="false">
      <c r="A16" s="12" t="s">
        <v>316</v>
      </c>
      <c r="B16" s="12"/>
      <c r="C16" s="12"/>
      <c r="D16" s="12"/>
      <c r="E16" s="12"/>
      <c r="F16" s="12"/>
      <c r="G16" s="12"/>
      <c r="H16" s="12"/>
      <c r="I16" s="12"/>
    </row>
    <row r="17" customFormat="false" ht="39" hidden="false" customHeight="true" outlineLevel="0" collapsed="false">
      <c r="A17" s="12" t="s">
        <v>317</v>
      </c>
      <c r="B17" s="12"/>
      <c r="C17" s="12"/>
      <c r="D17" s="12"/>
      <c r="E17" s="12"/>
      <c r="F17" s="12"/>
      <c r="G17" s="12"/>
      <c r="H17" s="12"/>
      <c r="I17" s="12"/>
    </row>
    <row r="18" customFormat="false" ht="39" hidden="false" customHeight="true" outlineLevel="0" collapsed="false">
      <c r="A18" s="21" t="s">
        <v>318</v>
      </c>
      <c r="B18" s="21"/>
      <c r="C18" s="21"/>
      <c r="D18" s="21"/>
      <c r="E18" s="21"/>
      <c r="F18" s="21"/>
      <c r="G18" s="21"/>
      <c r="H18" s="21"/>
      <c r="I18" s="21"/>
    </row>
    <row r="20" customFormat="false" ht="19.5" hidden="false" customHeight="true" outlineLevel="0" collapsed="false">
      <c r="A20" s="3" t="s">
        <v>319</v>
      </c>
      <c r="B20" s="3"/>
      <c r="C20" s="3"/>
      <c r="D20" s="3"/>
      <c r="E20" s="3"/>
      <c r="F20" s="3"/>
      <c r="G20" s="3"/>
      <c r="H20" s="3"/>
      <c r="I20" s="3"/>
    </row>
    <row r="21" customFormat="false" ht="39" hidden="false" customHeight="true" outlineLevel="0" collapsed="false">
      <c r="A21" s="7" t="s">
        <v>320</v>
      </c>
      <c r="B21" s="7"/>
      <c r="C21" s="7"/>
      <c r="D21" s="7"/>
      <c r="E21" s="7"/>
      <c r="F21" s="7"/>
      <c r="G21" s="7"/>
      <c r="H21" s="7"/>
      <c r="I21" s="7"/>
    </row>
    <row r="22" customFormat="false" ht="30" hidden="false" customHeight="true" outlineLevel="0" collapsed="false">
      <c r="A22" s="4" t="s">
        <v>321</v>
      </c>
      <c r="B22" s="4" t="s">
        <v>322</v>
      </c>
      <c r="C22" s="4"/>
      <c r="D22" s="4"/>
      <c r="E22" s="4"/>
      <c r="F22" s="4"/>
      <c r="G22" s="4"/>
      <c r="H22" s="4"/>
      <c r="I22" s="4" t="s">
        <v>323</v>
      </c>
    </row>
    <row r="23" customFormat="false" ht="24" hidden="false" customHeight="true" outlineLevel="0" collapsed="false">
      <c r="A23" s="5" t="s">
        <v>188</v>
      </c>
      <c r="B23" s="14" t="s">
        <v>324</v>
      </c>
      <c r="C23" s="14"/>
      <c r="D23" s="14"/>
      <c r="E23" s="14"/>
      <c r="F23" s="14"/>
      <c r="G23" s="14"/>
      <c r="H23" s="14"/>
      <c r="I23" s="6" t="s">
        <v>325</v>
      </c>
    </row>
    <row r="24" customFormat="false" ht="24" hidden="false" customHeight="true" outlineLevel="0" collapsed="false">
      <c r="A24" s="5" t="s">
        <v>326</v>
      </c>
      <c r="B24" s="14" t="s">
        <v>327</v>
      </c>
      <c r="C24" s="14"/>
      <c r="D24" s="14"/>
      <c r="E24" s="14"/>
      <c r="F24" s="14"/>
      <c r="G24" s="14"/>
      <c r="H24" s="14"/>
      <c r="I24" s="6" t="s">
        <v>328</v>
      </c>
    </row>
    <row r="25" customFormat="false" ht="24" hidden="false" customHeight="true" outlineLevel="0" collapsed="false">
      <c r="A25" s="5" t="s">
        <v>329</v>
      </c>
      <c r="B25" s="14" t="s">
        <v>263</v>
      </c>
      <c r="C25" s="14"/>
      <c r="D25" s="14"/>
      <c r="E25" s="14"/>
      <c r="F25" s="14"/>
      <c r="G25" s="14"/>
      <c r="H25" s="14"/>
      <c r="I25" s="6" t="s">
        <v>330</v>
      </c>
    </row>
    <row r="27" customFormat="false" ht="19.5" hidden="false" customHeight="true" outlineLevel="0" collapsed="false">
      <c r="A27" s="20" t="s">
        <v>331</v>
      </c>
      <c r="B27" s="20"/>
      <c r="C27" s="20"/>
      <c r="D27" s="20"/>
      <c r="E27" s="20"/>
      <c r="F27" s="20"/>
      <c r="G27" s="20"/>
      <c r="H27" s="20"/>
      <c r="I27" s="20"/>
    </row>
    <row r="28" customFormat="false" ht="39" hidden="false" customHeight="true" outlineLevel="0" collapsed="false">
      <c r="A28" s="7" t="s">
        <v>332</v>
      </c>
      <c r="B28" s="7"/>
      <c r="C28" s="7"/>
      <c r="D28" s="7"/>
      <c r="E28" s="7"/>
      <c r="F28" s="7"/>
      <c r="G28" s="7"/>
      <c r="H28" s="7"/>
      <c r="I28" s="7"/>
    </row>
    <row r="29" customFormat="false" ht="30" hidden="false" customHeight="true" outlineLevel="0" collapsed="false">
      <c r="A29" s="4" t="s">
        <v>321</v>
      </c>
      <c r="B29" s="4" t="s">
        <v>322</v>
      </c>
      <c r="C29" s="4"/>
      <c r="D29" s="4"/>
      <c r="E29" s="4"/>
      <c r="F29" s="4"/>
      <c r="G29" s="4"/>
      <c r="H29" s="4"/>
      <c r="I29" s="4" t="s">
        <v>323</v>
      </c>
    </row>
    <row r="30" customFormat="false" ht="36" hidden="false" customHeight="true" outlineLevel="0" collapsed="false">
      <c r="A30" s="5" t="s">
        <v>188</v>
      </c>
      <c r="B30" s="14" t="s">
        <v>324</v>
      </c>
      <c r="C30" s="14"/>
      <c r="D30" s="14"/>
      <c r="E30" s="14"/>
      <c r="F30" s="14"/>
      <c r="G30" s="14"/>
      <c r="H30" s="14"/>
      <c r="I30" s="6" t="s">
        <v>333</v>
      </c>
    </row>
    <row r="31" customFormat="false" ht="24" hidden="false" customHeight="true" outlineLevel="0" collapsed="false">
      <c r="A31" s="5" t="s">
        <v>326</v>
      </c>
      <c r="B31" s="14" t="s">
        <v>334</v>
      </c>
      <c r="C31" s="14"/>
      <c r="D31" s="14"/>
      <c r="E31" s="14"/>
      <c r="F31" s="14"/>
      <c r="G31" s="14"/>
      <c r="H31" s="14"/>
      <c r="I31" s="6" t="s">
        <v>335</v>
      </c>
    </row>
    <row r="33" customFormat="false" ht="25.5" hidden="false" customHeight="true" outlineLevel="0" collapsed="false">
      <c r="A33" s="22" t="s">
        <v>336</v>
      </c>
      <c r="B33" s="22"/>
      <c r="C33" s="22"/>
      <c r="D33" s="22"/>
      <c r="E33" s="22"/>
      <c r="F33" s="22"/>
      <c r="G33" s="22"/>
      <c r="H33" s="22"/>
      <c r="I33" s="22"/>
    </row>
    <row r="34" customFormat="false" ht="30" hidden="false" customHeight="true" outlineLevel="0" collapsed="false">
      <c r="A34" s="4" t="s">
        <v>337</v>
      </c>
      <c r="B34" s="4" t="s">
        <v>338</v>
      </c>
      <c r="C34" s="4"/>
      <c r="D34" s="4"/>
      <c r="E34" s="4"/>
      <c r="F34" s="4"/>
      <c r="G34" s="4"/>
      <c r="H34" s="4"/>
      <c r="I34" s="4" t="s">
        <v>339</v>
      </c>
    </row>
    <row r="35" customFormat="false" ht="14.25" hidden="false" customHeight="false" outlineLevel="0" collapsed="false">
      <c r="A35" s="5" t="s">
        <v>340</v>
      </c>
      <c r="B35" s="14" t="s">
        <v>341</v>
      </c>
      <c r="C35" s="14"/>
      <c r="D35" s="14"/>
      <c r="E35" s="14"/>
      <c r="F35" s="14"/>
      <c r="G35" s="14"/>
      <c r="H35" s="14"/>
      <c r="I35" s="6" t="s">
        <v>342</v>
      </c>
    </row>
    <row r="36" customFormat="false" ht="24" hidden="false" customHeight="true" outlineLevel="0" collapsed="false">
      <c r="A36" s="5" t="s">
        <v>343</v>
      </c>
      <c r="B36" s="14" t="s">
        <v>344</v>
      </c>
      <c r="C36" s="14"/>
      <c r="D36" s="14"/>
      <c r="E36" s="14"/>
      <c r="F36" s="14"/>
      <c r="G36" s="14"/>
      <c r="H36" s="14"/>
      <c r="I36" s="6" t="s">
        <v>345</v>
      </c>
    </row>
    <row r="37" customFormat="false" ht="36" hidden="false" customHeight="true" outlineLevel="0" collapsed="false">
      <c r="A37" s="5" t="s">
        <v>346</v>
      </c>
      <c r="B37" s="14" t="s">
        <v>347</v>
      </c>
      <c r="C37" s="14"/>
      <c r="D37" s="14"/>
      <c r="E37" s="14"/>
      <c r="F37" s="14"/>
      <c r="G37" s="14"/>
      <c r="H37" s="14"/>
      <c r="I37" s="6" t="s">
        <v>348</v>
      </c>
    </row>
    <row r="38" customFormat="false" ht="14.25" hidden="false" customHeight="false" outlineLevel="0" collapsed="false">
      <c r="A38" s="5" t="s">
        <v>349</v>
      </c>
      <c r="B38" s="14" t="s">
        <v>344</v>
      </c>
      <c r="C38" s="14"/>
      <c r="D38" s="14"/>
      <c r="E38" s="14"/>
      <c r="F38" s="14"/>
      <c r="G38" s="14"/>
      <c r="H38" s="14"/>
      <c r="I38" s="6" t="s">
        <v>350</v>
      </c>
    </row>
    <row r="39" customFormat="false" ht="24" hidden="false" customHeight="true" outlineLevel="0" collapsed="false">
      <c r="A39" s="5" t="s">
        <v>351</v>
      </c>
      <c r="B39" s="14" t="s">
        <v>352</v>
      </c>
      <c r="C39" s="14"/>
      <c r="D39" s="14"/>
      <c r="E39" s="14"/>
      <c r="F39" s="14"/>
      <c r="G39" s="14"/>
      <c r="H39" s="14"/>
      <c r="I39" s="6" t="s">
        <v>353</v>
      </c>
    </row>
    <row r="40" customFormat="false" ht="39" hidden="false" customHeight="true" outlineLevel="0" collapsed="false">
      <c r="A40" s="7" t="s">
        <v>354</v>
      </c>
      <c r="B40" s="7"/>
      <c r="C40" s="7"/>
      <c r="D40" s="7"/>
      <c r="E40" s="7"/>
      <c r="F40" s="7"/>
      <c r="G40" s="7"/>
      <c r="H40" s="7"/>
      <c r="I40" s="7"/>
    </row>
    <row r="42" customFormat="false" ht="30" hidden="false" customHeight="true" outlineLevel="0" collapsed="false">
      <c r="A42" s="4" t="s">
        <v>329</v>
      </c>
      <c r="B42" s="4" t="s">
        <v>355</v>
      </c>
      <c r="C42" s="4" t="s">
        <v>356</v>
      </c>
      <c r="D42" s="4"/>
      <c r="E42" s="4"/>
      <c r="F42" s="4"/>
      <c r="G42" s="4"/>
      <c r="H42" s="4"/>
      <c r="I42" s="4" t="s">
        <v>339</v>
      </c>
    </row>
    <row r="43" customFormat="false" ht="48" hidden="false" customHeight="true" outlineLevel="0" collapsed="false">
      <c r="A43" s="5" t="s">
        <v>357</v>
      </c>
      <c r="B43" s="14" t="s">
        <v>358</v>
      </c>
      <c r="C43" s="14" t="s">
        <v>359</v>
      </c>
      <c r="D43" s="14"/>
      <c r="E43" s="14"/>
      <c r="F43" s="14"/>
      <c r="G43" s="14"/>
      <c r="H43" s="14"/>
      <c r="I43" s="6" t="s">
        <v>360</v>
      </c>
    </row>
    <row r="44" customFormat="false" ht="36" hidden="false" customHeight="true" outlineLevel="0" collapsed="false">
      <c r="A44" s="5" t="s">
        <v>361</v>
      </c>
      <c r="B44" s="14" t="s">
        <v>327</v>
      </c>
      <c r="C44" s="14" t="s">
        <v>362</v>
      </c>
      <c r="D44" s="14"/>
      <c r="E44" s="14"/>
      <c r="F44" s="14"/>
      <c r="G44" s="14"/>
      <c r="H44" s="14"/>
      <c r="I44" s="6" t="s">
        <v>363</v>
      </c>
    </row>
    <row r="45" customFormat="false" ht="60" hidden="false" customHeight="true" outlineLevel="0" collapsed="false">
      <c r="A45" s="5" t="s">
        <v>364</v>
      </c>
      <c r="B45" s="14" t="s">
        <v>327</v>
      </c>
      <c r="C45" s="14" t="s">
        <v>365</v>
      </c>
      <c r="D45" s="14"/>
      <c r="E45" s="14"/>
      <c r="F45" s="14"/>
      <c r="G45" s="14"/>
      <c r="H45" s="14"/>
      <c r="I45" s="6" t="s">
        <v>366</v>
      </c>
    </row>
    <row r="46" customFormat="false" ht="36" hidden="false" customHeight="true" outlineLevel="0" collapsed="false">
      <c r="A46" s="5" t="s">
        <v>367</v>
      </c>
      <c r="B46" s="14" t="s">
        <v>368</v>
      </c>
      <c r="C46" s="14" t="s">
        <v>369</v>
      </c>
      <c r="D46" s="14"/>
      <c r="E46" s="14"/>
      <c r="F46" s="14"/>
      <c r="G46" s="14"/>
      <c r="H46" s="14"/>
      <c r="I46" s="6" t="s">
        <v>370</v>
      </c>
    </row>
    <row r="47" customFormat="false" ht="39" hidden="false" customHeight="true" outlineLevel="0" collapsed="false">
      <c r="A47" s="11" t="s">
        <v>371</v>
      </c>
      <c r="B47" s="11"/>
      <c r="C47" s="11"/>
      <c r="D47" s="11"/>
      <c r="E47" s="11"/>
      <c r="F47" s="11"/>
      <c r="G47" s="11"/>
      <c r="H47" s="11"/>
      <c r="I47" s="11"/>
    </row>
    <row r="49" customFormat="false" ht="19.5" hidden="false" customHeight="true" outlineLevel="0" collapsed="false">
      <c r="A49" s="20" t="s">
        <v>372</v>
      </c>
      <c r="B49" s="20"/>
      <c r="C49" s="20"/>
      <c r="D49" s="20"/>
      <c r="E49" s="20"/>
      <c r="F49" s="20"/>
      <c r="G49" s="20"/>
      <c r="H49" s="20"/>
      <c r="I49" s="20"/>
    </row>
    <row r="50" customFormat="false" ht="30" hidden="false" customHeight="true" outlineLevel="0" collapsed="false">
      <c r="A50" s="4" t="s">
        <v>373</v>
      </c>
      <c r="B50" s="4" t="s">
        <v>374</v>
      </c>
      <c r="C50" s="4" t="s">
        <v>188</v>
      </c>
      <c r="D50" s="4" t="s">
        <v>375</v>
      </c>
      <c r="E50" s="4" t="s">
        <v>329</v>
      </c>
      <c r="F50" s="4"/>
      <c r="G50" s="4"/>
      <c r="H50" s="4"/>
      <c r="I50" s="4" t="s">
        <v>92</v>
      </c>
    </row>
    <row r="51" customFormat="false" ht="14.25" hidden="false" customHeight="false" outlineLevel="0" collapsed="false">
      <c r="A51" s="5" t="s">
        <v>376</v>
      </c>
      <c r="B51" s="14" t="s">
        <v>377</v>
      </c>
      <c r="C51" s="15" t="n">
        <v>8</v>
      </c>
      <c r="D51" s="15" t="n">
        <v>24</v>
      </c>
      <c r="E51" s="14" t="s">
        <v>66</v>
      </c>
      <c r="F51" s="14"/>
      <c r="G51" s="14"/>
      <c r="H51" s="14"/>
    </row>
    <row r="52" customFormat="false" ht="14.25" hidden="false" customHeight="false" outlineLevel="0" collapsed="false">
      <c r="A52" s="5" t="s">
        <v>378</v>
      </c>
      <c r="B52" s="14" t="s">
        <v>379</v>
      </c>
      <c r="C52" s="15" t="n">
        <v>8</v>
      </c>
      <c r="D52" s="15" t="n">
        <v>32</v>
      </c>
      <c r="E52" s="14" t="s">
        <v>380</v>
      </c>
      <c r="F52" s="14"/>
      <c r="G52" s="14"/>
      <c r="H52" s="14"/>
    </row>
    <row r="53" customFormat="false" ht="14.25" hidden="false" customHeight="false" outlineLevel="0" collapsed="false">
      <c r="A53" s="8" t="s">
        <v>381</v>
      </c>
      <c r="B53" s="9"/>
      <c r="C53" s="16" t="n">
        <f aca="false">SUM(C51:C52)</f>
        <v>16</v>
      </c>
      <c r="D53" s="16" t="n">
        <f aca="false">SUM(D51:D52)</f>
        <v>56</v>
      </c>
      <c r="E53" s="9" t="s">
        <v>382</v>
      </c>
      <c r="F53" s="9"/>
      <c r="G53" s="9"/>
      <c r="H53" s="9"/>
      <c r="I53" s="9"/>
    </row>
    <row r="54" customFormat="false" ht="25.5" hidden="false" customHeight="true" outlineLevel="0" collapsed="false">
      <c r="A54" s="7" t="s">
        <v>383</v>
      </c>
      <c r="B54" s="7"/>
      <c r="C54" s="7"/>
      <c r="D54" s="7"/>
      <c r="E54" s="7"/>
      <c r="F54" s="7"/>
      <c r="G54" s="7"/>
      <c r="H54" s="7"/>
      <c r="I54" s="7"/>
    </row>
    <row r="56" customFormat="false" ht="19.5" hidden="false" customHeight="true" outlineLevel="0" collapsed="false">
      <c r="A56" s="3" t="s">
        <v>384</v>
      </c>
      <c r="B56" s="3"/>
      <c r="C56" s="3"/>
      <c r="D56" s="3"/>
      <c r="E56" s="3"/>
      <c r="F56" s="3"/>
      <c r="G56" s="3"/>
      <c r="H56" s="3"/>
      <c r="I56" s="3"/>
    </row>
    <row r="57" customFormat="false" ht="30" hidden="false" customHeight="true" outlineLevel="0" collapsed="false">
      <c r="A57" s="4" t="s">
        <v>373</v>
      </c>
      <c r="B57" s="4" t="s">
        <v>385</v>
      </c>
      <c r="C57" s="4" t="s">
        <v>204</v>
      </c>
      <c r="D57" s="4"/>
      <c r="E57" s="4"/>
      <c r="F57" s="4"/>
      <c r="G57" s="4"/>
      <c r="H57" s="4"/>
      <c r="I57" s="4" t="s">
        <v>339</v>
      </c>
    </row>
    <row r="58" customFormat="false" ht="14.25" hidden="false" customHeight="false" outlineLevel="0" collapsed="false">
      <c r="A58" s="5" t="s">
        <v>376</v>
      </c>
      <c r="B58" s="14" t="s">
        <v>386</v>
      </c>
      <c r="C58" s="23" t="n">
        <v>20</v>
      </c>
      <c r="D58" s="14"/>
      <c r="E58" s="14"/>
      <c r="F58" s="14"/>
      <c r="G58" s="14"/>
      <c r="H58" s="14"/>
      <c r="I58" s="6" t="s">
        <v>387</v>
      </c>
    </row>
    <row r="59" customFormat="false" ht="14.25" hidden="false" customHeight="false" outlineLevel="0" collapsed="false">
      <c r="A59" s="5" t="s">
        <v>376</v>
      </c>
      <c r="B59" s="14" t="s">
        <v>388</v>
      </c>
      <c r="C59" s="23" t="n">
        <v>8</v>
      </c>
      <c r="D59" s="14"/>
      <c r="E59" s="14"/>
      <c r="F59" s="14"/>
      <c r="G59" s="14"/>
      <c r="H59" s="14"/>
      <c r="I59" s="6" t="s">
        <v>389</v>
      </c>
    </row>
    <row r="60" customFormat="false" ht="14.25" hidden="false" customHeight="false" outlineLevel="0" collapsed="false">
      <c r="A60" s="5" t="s">
        <v>376</v>
      </c>
      <c r="B60" s="14" t="s">
        <v>390</v>
      </c>
      <c r="C60" s="23" t="n">
        <v>1.2</v>
      </c>
      <c r="D60" s="14"/>
      <c r="E60" s="14"/>
      <c r="F60" s="14"/>
      <c r="G60" s="14"/>
      <c r="H60" s="14"/>
      <c r="I60" s="6" t="s">
        <v>391</v>
      </c>
    </row>
    <row r="61" customFormat="false" ht="14.25" hidden="false" customHeight="false" outlineLevel="0" collapsed="false">
      <c r="A61" s="5" t="s">
        <v>376</v>
      </c>
      <c r="B61" s="14" t="s">
        <v>392</v>
      </c>
      <c r="C61" s="23" t="n">
        <v>0.5</v>
      </c>
      <c r="D61" s="14"/>
      <c r="E61" s="14"/>
      <c r="F61" s="14"/>
      <c r="G61" s="14"/>
      <c r="H61" s="14"/>
      <c r="I61" s="6" t="s">
        <v>393</v>
      </c>
    </row>
    <row r="62" customFormat="false" ht="24" hidden="false" customHeight="true" outlineLevel="0" collapsed="false">
      <c r="A62" s="5" t="s">
        <v>376</v>
      </c>
      <c r="B62" s="14" t="s">
        <v>394</v>
      </c>
      <c r="C62" s="23" t="n">
        <v>5</v>
      </c>
      <c r="D62" s="14"/>
      <c r="E62" s="14"/>
      <c r="F62" s="14"/>
      <c r="G62" s="14"/>
      <c r="H62" s="14"/>
      <c r="I62" s="6" t="s">
        <v>395</v>
      </c>
    </row>
    <row r="63" customFormat="false" ht="14.25" hidden="false" customHeight="false" outlineLevel="0" collapsed="false">
      <c r="A63" s="5" t="s">
        <v>376</v>
      </c>
      <c r="B63" s="14" t="s">
        <v>396</v>
      </c>
      <c r="C63" s="23" t="n">
        <v>15</v>
      </c>
      <c r="D63" s="14"/>
      <c r="E63" s="14"/>
      <c r="F63" s="14"/>
      <c r="G63" s="14"/>
      <c r="H63" s="14"/>
      <c r="I63" s="6" t="s">
        <v>397</v>
      </c>
    </row>
    <row r="64" customFormat="false" ht="60" hidden="false" customHeight="true" outlineLevel="0" collapsed="false">
      <c r="A64" s="5" t="s">
        <v>376</v>
      </c>
      <c r="B64" s="14" t="s">
        <v>398</v>
      </c>
      <c r="C64" s="23" t="n">
        <v>5</v>
      </c>
      <c r="D64" s="14"/>
      <c r="E64" s="14"/>
      <c r="F64" s="14"/>
      <c r="G64" s="14"/>
      <c r="H64" s="14"/>
      <c r="I64" s="6" t="s">
        <v>399</v>
      </c>
    </row>
    <row r="65" customFormat="false" ht="24" hidden="false" customHeight="true" outlineLevel="0" collapsed="false">
      <c r="A65" s="5" t="s">
        <v>376</v>
      </c>
      <c r="B65" s="14" t="s">
        <v>400</v>
      </c>
      <c r="C65" s="23" t="n">
        <v>8</v>
      </c>
      <c r="D65" s="14"/>
      <c r="E65" s="14"/>
      <c r="F65" s="14"/>
      <c r="G65" s="14"/>
      <c r="H65" s="14"/>
      <c r="I65" s="6" t="s">
        <v>401</v>
      </c>
    </row>
    <row r="66" customFormat="false" ht="14.25" hidden="false" customHeight="false" outlineLevel="0" collapsed="false">
      <c r="A66" s="5" t="s">
        <v>378</v>
      </c>
      <c r="B66" s="14" t="s">
        <v>402</v>
      </c>
      <c r="C66" s="23" t="n">
        <v>4.5</v>
      </c>
      <c r="D66" s="14"/>
      <c r="E66" s="14"/>
      <c r="F66" s="14"/>
      <c r="G66" s="14"/>
      <c r="H66" s="14"/>
      <c r="I66" s="6" t="s">
        <v>403</v>
      </c>
    </row>
    <row r="67" customFormat="false" ht="24" hidden="false" customHeight="true" outlineLevel="0" collapsed="false">
      <c r="A67" s="5" t="s">
        <v>378</v>
      </c>
      <c r="B67" s="14" t="s">
        <v>404</v>
      </c>
      <c r="C67" s="24" t="s">
        <v>405</v>
      </c>
      <c r="D67" s="14"/>
      <c r="E67" s="14"/>
      <c r="F67" s="14"/>
      <c r="G67" s="14"/>
      <c r="H67" s="14"/>
      <c r="I67" s="6" t="s">
        <v>406</v>
      </c>
    </row>
    <row r="68" customFormat="false" ht="14.25" hidden="false" customHeight="false" outlineLevel="0" collapsed="false">
      <c r="A68" s="8" t="s">
        <v>407</v>
      </c>
      <c r="B68" s="9"/>
      <c r="C68" s="16" t="n">
        <v>100</v>
      </c>
      <c r="D68" s="9"/>
      <c r="E68" s="9"/>
      <c r="F68" s="9"/>
      <c r="G68" s="9"/>
      <c r="H68" s="9"/>
      <c r="I68" s="9" t="s">
        <v>408</v>
      </c>
    </row>
    <row r="69" customFormat="false" ht="14.25" hidden="false" customHeight="false" outlineLevel="0" collapsed="false">
      <c r="A69" s="8" t="s">
        <v>409</v>
      </c>
      <c r="B69" s="9"/>
      <c r="C69" s="16" t="n">
        <v>80</v>
      </c>
      <c r="D69" s="9"/>
      <c r="E69" s="9"/>
      <c r="F69" s="9"/>
      <c r="G69" s="9"/>
      <c r="H69" s="9"/>
      <c r="I69" s="9" t="s">
        <v>410</v>
      </c>
    </row>
    <row r="70" customFormat="false" ht="25.5" hidden="false" customHeight="true" outlineLevel="0" collapsed="false">
      <c r="A70" s="7" t="s">
        <v>411</v>
      </c>
      <c r="B70" s="7"/>
      <c r="C70" s="7"/>
      <c r="D70" s="7"/>
      <c r="E70" s="7"/>
      <c r="F70" s="7"/>
      <c r="G70" s="7"/>
      <c r="H70" s="7"/>
      <c r="I70" s="7"/>
    </row>
    <row r="72" customFormat="false" ht="19.5" hidden="false" customHeight="true" outlineLevel="0" collapsed="false">
      <c r="A72" s="3" t="s">
        <v>412</v>
      </c>
      <c r="B72" s="3"/>
      <c r="C72" s="3"/>
      <c r="D72" s="3"/>
      <c r="E72" s="3"/>
      <c r="F72" s="3"/>
      <c r="G72" s="3"/>
      <c r="H72" s="3"/>
      <c r="I72" s="3"/>
    </row>
    <row r="73" customFormat="false" ht="25.5" hidden="false" customHeight="true" outlineLevel="0" collapsed="false">
      <c r="A73" s="7" t="s">
        <v>413</v>
      </c>
      <c r="B73" s="7"/>
      <c r="C73" s="7"/>
      <c r="D73" s="7"/>
      <c r="E73" s="7"/>
      <c r="F73" s="7"/>
      <c r="G73" s="7"/>
      <c r="H73" s="7"/>
      <c r="I73" s="7"/>
    </row>
    <row r="74" customFormat="false" ht="30" hidden="false" customHeight="true" outlineLevel="0" collapsed="false">
      <c r="A74" s="4" t="s">
        <v>155</v>
      </c>
      <c r="B74" s="4" t="s">
        <v>414</v>
      </c>
      <c r="C74" s="4" t="s">
        <v>135</v>
      </c>
      <c r="D74" s="4"/>
      <c r="E74" s="4"/>
      <c r="F74" s="4"/>
      <c r="G74" s="4"/>
      <c r="H74" s="4"/>
      <c r="I74" s="4" t="s">
        <v>415</v>
      </c>
    </row>
    <row r="75" customFormat="false" ht="48" hidden="false" customHeight="true" outlineLevel="0" collapsed="false">
      <c r="A75" s="5" t="s">
        <v>416</v>
      </c>
      <c r="B75" s="14" t="s">
        <v>417</v>
      </c>
      <c r="C75" s="14" t="s">
        <v>418</v>
      </c>
      <c r="D75" s="14"/>
      <c r="E75" s="14"/>
      <c r="F75" s="14"/>
      <c r="G75" s="14"/>
      <c r="H75" s="14"/>
      <c r="I75" s="6" t="s">
        <v>419</v>
      </c>
    </row>
    <row r="76" customFormat="false" ht="14.25" hidden="false" customHeight="false" outlineLevel="0" collapsed="false">
      <c r="A76" s="5" t="s">
        <v>420</v>
      </c>
      <c r="B76" s="14" t="s">
        <v>421</v>
      </c>
      <c r="C76" s="14" t="s">
        <v>422</v>
      </c>
      <c r="D76" s="14"/>
      <c r="E76" s="14"/>
      <c r="F76" s="14"/>
      <c r="G76" s="14"/>
      <c r="H76" s="14"/>
      <c r="I76" s="6" t="s">
        <v>423</v>
      </c>
    </row>
    <row r="77" customFormat="false" ht="14.25" hidden="false" customHeight="false" outlineLevel="0" collapsed="false">
      <c r="A77" s="5" t="s">
        <v>424</v>
      </c>
      <c r="B77" s="14" t="s">
        <v>425</v>
      </c>
      <c r="C77" s="14" t="s">
        <v>426</v>
      </c>
      <c r="D77" s="14"/>
      <c r="E77" s="14"/>
      <c r="F77" s="14"/>
      <c r="G77" s="14"/>
      <c r="H77" s="14"/>
      <c r="I77" s="6" t="s">
        <v>427</v>
      </c>
    </row>
    <row r="78" customFormat="false" ht="14.25" hidden="false" customHeight="false" outlineLevel="0" collapsed="false">
      <c r="A78" s="5" t="s">
        <v>428</v>
      </c>
      <c r="B78" s="14" t="s">
        <v>425</v>
      </c>
      <c r="C78" s="14" t="s">
        <v>429</v>
      </c>
      <c r="D78" s="14"/>
      <c r="E78" s="14"/>
      <c r="F78" s="14"/>
      <c r="G78" s="14"/>
      <c r="H78" s="14"/>
      <c r="I78" s="6" t="s">
        <v>430</v>
      </c>
    </row>
    <row r="79" customFormat="false" ht="25.5" hidden="false" customHeight="true" outlineLevel="0" collapsed="false">
      <c r="A79" s="7" t="s">
        <v>431</v>
      </c>
      <c r="B79" s="7"/>
      <c r="C79" s="7"/>
      <c r="D79" s="7"/>
      <c r="E79" s="7"/>
      <c r="F79" s="7"/>
      <c r="G79" s="7"/>
      <c r="H79" s="7"/>
      <c r="I79" s="7"/>
    </row>
    <row r="81" customFormat="false" ht="19.5" hidden="false" customHeight="true" outlineLevel="0" collapsed="false">
      <c r="A81" s="3" t="s">
        <v>432</v>
      </c>
      <c r="B81" s="3"/>
      <c r="C81" s="3"/>
      <c r="D81" s="3"/>
      <c r="E81" s="3"/>
      <c r="F81" s="3"/>
      <c r="G81" s="3"/>
      <c r="H81" s="3"/>
      <c r="I81" s="3"/>
    </row>
    <row r="82" customFormat="false" ht="30" hidden="false" customHeight="true" outlineLevel="0" collapsed="false">
      <c r="A82" s="4" t="s">
        <v>154</v>
      </c>
      <c r="B82" s="4" t="s">
        <v>155</v>
      </c>
      <c r="C82" s="4" t="s">
        <v>186</v>
      </c>
      <c r="D82" s="4"/>
      <c r="E82" s="4"/>
      <c r="F82" s="4"/>
      <c r="G82" s="4"/>
      <c r="H82" s="4"/>
      <c r="I82" s="4" t="s">
        <v>339</v>
      </c>
    </row>
    <row r="83" customFormat="false" ht="24" hidden="false" customHeight="true" outlineLevel="0" collapsed="false">
      <c r="A83" s="5" t="s">
        <v>433</v>
      </c>
      <c r="B83" s="14" t="s">
        <v>434</v>
      </c>
      <c r="C83" s="14" t="s">
        <v>435</v>
      </c>
      <c r="D83" s="14"/>
      <c r="E83" s="14"/>
      <c r="F83" s="14"/>
      <c r="G83" s="14"/>
      <c r="H83" s="14"/>
      <c r="I83" s="6" t="s">
        <v>436</v>
      </c>
    </row>
    <row r="84" customFormat="false" ht="24" hidden="false" customHeight="true" outlineLevel="0" collapsed="false">
      <c r="A84" s="5" t="s">
        <v>437</v>
      </c>
      <c r="B84" s="14" t="s">
        <v>438</v>
      </c>
      <c r="C84" s="14" t="s">
        <v>439</v>
      </c>
      <c r="D84" s="14"/>
      <c r="E84" s="14"/>
      <c r="F84" s="14"/>
      <c r="G84" s="14"/>
      <c r="H84" s="14"/>
      <c r="I84" s="6" t="s">
        <v>440</v>
      </c>
    </row>
    <row r="85" customFormat="false" ht="24" hidden="false" customHeight="true" outlineLevel="0" collapsed="false">
      <c r="A85" s="5" t="s">
        <v>441</v>
      </c>
      <c r="B85" s="14" t="s">
        <v>442</v>
      </c>
      <c r="C85" s="14" t="s">
        <v>443</v>
      </c>
      <c r="D85" s="14"/>
      <c r="E85" s="14"/>
      <c r="F85" s="14"/>
      <c r="G85" s="14"/>
      <c r="H85" s="14"/>
      <c r="I85" s="6" t="s">
        <v>444</v>
      </c>
    </row>
    <row r="86" customFormat="false" ht="24" hidden="false" customHeight="true" outlineLevel="0" collapsed="false">
      <c r="A86" s="5" t="s">
        <v>441</v>
      </c>
      <c r="B86" s="14" t="s">
        <v>445</v>
      </c>
      <c r="C86" s="14" t="s">
        <v>446</v>
      </c>
      <c r="D86" s="14"/>
      <c r="E86" s="14"/>
      <c r="F86" s="14"/>
      <c r="G86" s="14"/>
      <c r="H86" s="14"/>
      <c r="I86" s="6" t="s">
        <v>447</v>
      </c>
    </row>
    <row r="87" customFormat="false" ht="24" hidden="false" customHeight="true" outlineLevel="0" collapsed="false">
      <c r="A87" s="5" t="s">
        <v>448</v>
      </c>
      <c r="B87" s="14" t="s">
        <v>449</v>
      </c>
      <c r="C87" s="14" t="s">
        <v>450</v>
      </c>
      <c r="D87" s="14"/>
      <c r="E87" s="14"/>
      <c r="F87" s="14"/>
      <c r="G87" s="14"/>
      <c r="H87" s="14"/>
      <c r="I87" s="6" t="s">
        <v>451</v>
      </c>
    </row>
    <row r="88" customFormat="false" ht="24" hidden="false" customHeight="true" outlineLevel="0" collapsed="false">
      <c r="A88" s="5" t="s">
        <v>452</v>
      </c>
      <c r="B88" s="14" t="s">
        <v>453</v>
      </c>
      <c r="C88" s="14" t="s">
        <v>454</v>
      </c>
      <c r="D88" s="14"/>
      <c r="E88" s="14"/>
      <c r="F88" s="14"/>
      <c r="G88" s="14"/>
      <c r="H88" s="14"/>
      <c r="I88" s="6" t="s">
        <v>455</v>
      </c>
    </row>
    <row r="89" customFormat="false" ht="14.25" hidden="false" customHeight="false" outlineLevel="0" collapsed="false">
      <c r="A89" s="5" t="s">
        <v>456</v>
      </c>
      <c r="B89" s="14" t="s">
        <v>457</v>
      </c>
      <c r="C89" s="14" t="s">
        <v>458</v>
      </c>
      <c r="D89" s="14"/>
      <c r="E89" s="14"/>
      <c r="F89" s="14"/>
      <c r="G89" s="14"/>
      <c r="H89" s="14"/>
      <c r="I89" s="6" t="s">
        <v>459</v>
      </c>
    </row>
    <row r="90" customFormat="false" ht="14.25" hidden="false" customHeight="false" outlineLevel="0" collapsed="false">
      <c r="A90" s="5" t="s">
        <v>460</v>
      </c>
      <c r="B90" s="14" t="s">
        <v>461</v>
      </c>
      <c r="C90" s="14" t="s">
        <v>462</v>
      </c>
      <c r="D90" s="14"/>
      <c r="E90" s="14"/>
      <c r="F90" s="14"/>
      <c r="G90" s="14"/>
      <c r="H90" s="14"/>
      <c r="I90" s="6" t="s">
        <v>463</v>
      </c>
    </row>
    <row r="91" customFormat="false" ht="24" hidden="false" customHeight="true" outlineLevel="0" collapsed="false">
      <c r="A91" s="5" t="s">
        <v>464</v>
      </c>
      <c r="B91" s="14" t="s">
        <v>465</v>
      </c>
      <c r="C91" s="14" t="s">
        <v>466</v>
      </c>
      <c r="D91" s="14"/>
      <c r="E91" s="14"/>
      <c r="F91" s="14"/>
      <c r="G91" s="14"/>
      <c r="H91" s="14"/>
      <c r="I91" s="6" t="s">
        <v>467</v>
      </c>
    </row>
    <row r="92" customFormat="false" ht="24" hidden="false" customHeight="true" outlineLevel="0" collapsed="false">
      <c r="A92" s="5" t="s">
        <v>468</v>
      </c>
      <c r="B92" s="14" t="s">
        <v>469</v>
      </c>
      <c r="C92" s="14" t="s">
        <v>470</v>
      </c>
      <c r="D92" s="14"/>
      <c r="E92" s="14"/>
      <c r="F92" s="14"/>
      <c r="G92" s="14"/>
      <c r="H92" s="14"/>
      <c r="I92" s="6" t="s">
        <v>471</v>
      </c>
    </row>
    <row r="93" customFormat="false" ht="14.25" hidden="false" customHeight="false" outlineLevel="0" collapsed="false">
      <c r="A93" s="5" t="s">
        <v>185</v>
      </c>
      <c r="B93" s="14" t="s">
        <v>192</v>
      </c>
      <c r="C93" s="14" t="s">
        <v>472</v>
      </c>
      <c r="D93" s="14"/>
      <c r="E93" s="14"/>
      <c r="F93" s="14"/>
      <c r="G93" s="14"/>
      <c r="H93" s="14"/>
      <c r="I93" s="6" t="s">
        <v>473</v>
      </c>
    </row>
    <row r="94" customFormat="false" ht="24" hidden="false" customHeight="true" outlineLevel="0" collapsed="false">
      <c r="A94" s="5" t="s">
        <v>474</v>
      </c>
      <c r="B94" s="14" t="s">
        <v>195</v>
      </c>
      <c r="C94" s="14" t="s">
        <v>475</v>
      </c>
      <c r="D94" s="14"/>
      <c r="E94" s="14"/>
      <c r="F94" s="14"/>
      <c r="G94" s="14"/>
      <c r="H94" s="14"/>
      <c r="I94" s="6" t="s">
        <v>476</v>
      </c>
    </row>
    <row r="95" customFormat="false" ht="24" hidden="false" customHeight="true" outlineLevel="0" collapsed="false">
      <c r="A95" s="5" t="s">
        <v>477</v>
      </c>
      <c r="B95" s="14" t="s">
        <v>478</v>
      </c>
      <c r="C95" s="14" t="s">
        <v>479</v>
      </c>
      <c r="D95" s="14"/>
      <c r="E95" s="14"/>
      <c r="F95" s="14"/>
      <c r="G95" s="14"/>
      <c r="H95" s="14"/>
      <c r="I95" s="6" t="s">
        <v>480</v>
      </c>
    </row>
    <row r="96" customFormat="false" ht="24" hidden="false" customHeight="true" outlineLevel="0" collapsed="false">
      <c r="A96" s="5" t="s">
        <v>481</v>
      </c>
      <c r="B96" s="14" t="s">
        <v>482</v>
      </c>
      <c r="C96" s="14" t="s">
        <v>470</v>
      </c>
      <c r="D96" s="14"/>
      <c r="E96" s="14"/>
      <c r="F96" s="14"/>
      <c r="G96" s="14"/>
      <c r="H96" s="14"/>
      <c r="I96" s="6" t="s">
        <v>483</v>
      </c>
    </row>
    <row r="97" customFormat="false" ht="24" hidden="false" customHeight="true" outlineLevel="0" collapsed="false">
      <c r="A97" s="5" t="s">
        <v>481</v>
      </c>
      <c r="B97" s="14" t="s">
        <v>484</v>
      </c>
      <c r="C97" s="14" t="s">
        <v>479</v>
      </c>
      <c r="D97" s="14"/>
      <c r="E97" s="14"/>
      <c r="F97" s="14"/>
      <c r="G97" s="14"/>
      <c r="H97" s="14"/>
      <c r="I97" s="6" t="s">
        <v>485</v>
      </c>
    </row>
    <row r="98" customFormat="false" ht="24" hidden="false" customHeight="true" outlineLevel="0" collapsed="false">
      <c r="A98" s="5" t="s">
        <v>486</v>
      </c>
      <c r="B98" s="14" t="s">
        <v>487</v>
      </c>
      <c r="C98" s="14" t="s">
        <v>454</v>
      </c>
      <c r="D98" s="14"/>
      <c r="E98" s="14"/>
      <c r="F98" s="14"/>
      <c r="G98" s="14"/>
      <c r="H98" s="14"/>
      <c r="I98" s="6" t="s">
        <v>488</v>
      </c>
    </row>
    <row r="100" customFormat="false" ht="19.5" hidden="false" customHeight="true" outlineLevel="0" collapsed="false">
      <c r="A100" s="3" t="s">
        <v>489</v>
      </c>
      <c r="B100" s="3"/>
      <c r="C100" s="3"/>
      <c r="D100" s="3"/>
      <c r="E100" s="3"/>
      <c r="F100" s="3"/>
      <c r="G100" s="3"/>
      <c r="H100" s="3"/>
      <c r="I100" s="3"/>
    </row>
    <row r="101" customFormat="false" ht="30" hidden="false" customHeight="true" outlineLevel="0" collapsed="false">
      <c r="A101" s="4" t="s">
        <v>490</v>
      </c>
      <c r="B101" s="4" t="s">
        <v>212</v>
      </c>
      <c r="C101" s="4" t="s">
        <v>491</v>
      </c>
      <c r="D101" s="4"/>
      <c r="E101" s="4"/>
      <c r="F101" s="4"/>
      <c r="G101" s="4"/>
      <c r="H101" s="4"/>
      <c r="I101" s="4" t="s">
        <v>492</v>
      </c>
    </row>
    <row r="102" customFormat="false" ht="14.25" hidden="false" customHeight="false" outlineLevel="0" collapsed="false">
      <c r="A102" s="5" t="s">
        <v>493</v>
      </c>
      <c r="B102" s="14" t="s">
        <v>494</v>
      </c>
      <c r="C102" s="14" t="s">
        <v>495</v>
      </c>
      <c r="D102" s="14"/>
      <c r="E102" s="14"/>
      <c r="F102" s="14"/>
      <c r="G102" s="14"/>
      <c r="H102" s="14"/>
      <c r="I102" s="6" t="s">
        <v>496</v>
      </c>
    </row>
    <row r="103" customFormat="false" ht="24" hidden="false" customHeight="true" outlineLevel="0" collapsed="false">
      <c r="A103" s="5" t="s">
        <v>497</v>
      </c>
      <c r="B103" s="14" t="s">
        <v>498</v>
      </c>
      <c r="C103" s="14" t="s">
        <v>495</v>
      </c>
      <c r="D103" s="14"/>
      <c r="E103" s="14"/>
      <c r="F103" s="14"/>
      <c r="G103" s="14"/>
      <c r="H103" s="14"/>
      <c r="I103" s="6" t="s">
        <v>499</v>
      </c>
    </row>
    <row r="104" customFormat="false" ht="14.25" hidden="false" customHeight="false" outlineLevel="0" collapsed="false">
      <c r="A104" s="5" t="s">
        <v>500</v>
      </c>
      <c r="B104" s="14" t="s">
        <v>501</v>
      </c>
      <c r="C104" s="14" t="s">
        <v>502</v>
      </c>
      <c r="D104" s="14"/>
      <c r="E104" s="14"/>
      <c r="F104" s="14"/>
      <c r="G104" s="14"/>
      <c r="H104" s="14"/>
      <c r="I104" s="6" t="s">
        <v>503</v>
      </c>
    </row>
    <row r="105" customFormat="false" ht="24" hidden="false" customHeight="true" outlineLevel="0" collapsed="false">
      <c r="A105" s="5" t="s">
        <v>504</v>
      </c>
      <c r="B105" s="14" t="s">
        <v>505</v>
      </c>
      <c r="C105" s="14" t="s">
        <v>506</v>
      </c>
      <c r="D105" s="14"/>
      <c r="E105" s="14"/>
      <c r="F105" s="14"/>
      <c r="G105" s="14"/>
      <c r="H105" s="14"/>
      <c r="I105" s="6" t="s">
        <v>507</v>
      </c>
    </row>
    <row r="106" customFormat="false" ht="14.25" hidden="false" customHeight="false" outlineLevel="0" collapsed="false">
      <c r="A106" s="5" t="s">
        <v>508</v>
      </c>
      <c r="B106" s="14" t="s">
        <v>192</v>
      </c>
      <c r="C106" s="14" t="s">
        <v>502</v>
      </c>
      <c r="D106" s="14"/>
      <c r="E106" s="14"/>
      <c r="F106" s="14"/>
      <c r="G106" s="14"/>
      <c r="H106" s="14"/>
      <c r="I106" s="6" t="s">
        <v>509</v>
      </c>
    </row>
    <row r="107" customFormat="false" ht="14.25" hidden="false" customHeight="false" outlineLevel="0" collapsed="false">
      <c r="A107" s="5" t="s">
        <v>510</v>
      </c>
      <c r="B107" s="14" t="s">
        <v>195</v>
      </c>
      <c r="C107" s="14" t="s">
        <v>502</v>
      </c>
      <c r="D107" s="14"/>
      <c r="E107" s="14"/>
      <c r="F107" s="14"/>
      <c r="G107" s="14"/>
      <c r="H107" s="14"/>
      <c r="I107" s="6" t="s">
        <v>511</v>
      </c>
    </row>
    <row r="108" customFormat="false" ht="24" hidden="false" customHeight="true" outlineLevel="0" collapsed="false">
      <c r="A108" s="5" t="s">
        <v>512</v>
      </c>
      <c r="B108" s="14" t="s">
        <v>513</v>
      </c>
      <c r="C108" s="14" t="s">
        <v>514</v>
      </c>
      <c r="D108" s="14"/>
      <c r="E108" s="14"/>
      <c r="F108" s="14"/>
      <c r="G108" s="14"/>
      <c r="H108" s="14"/>
      <c r="I108" s="6" t="s">
        <v>515</v>
      </c>
    </row>
    <row r="110" customFormat="false" ht="30" hidden="false" customHeight="true" outlineLevel="0" collapsed="false">
      <c r="A110" s="4" t="s">
        <v>516</v>
      </c>
      <c r="B110" s="4" t="s">
        <v>517</v>
      </c>
      <c r="C110" s="4" t="s">
        <v>518</v>
      </c>
      <c r="D110" s="4"/>
      <c r="E110" s="4"/>
      <c r="F110" s="4"/>
      <c r="G110" s="4"/>
      <c r="H110" s="4"/>
      <c r="I110" s="4" t="s">
        <v>339</v>
      </c>
    </row>
    <row r="111" customFormat="false" ht="14.25" hidden="false" customHeight="false" outlineLevel="0" collapsed="false">
      <c r="A111" s="5" t="s">
        <v>519</v>
      </c>
      <c r="B111" s="14" t="s">
        <v>520</v>
      </c>
      <c r="C111" s="14" t="s">
        <v>521</v>
      </c>
      <c r="D111" s="14"/>
      <c r="E111" s="14"/>
      <c r="F111" s="14"/>
      <c r="G111" s="14"/>
      <c r="H111" s="14"/>
      <c r="I111" s="6"/>
    </row>
    <row r="112" customFormat="false" ht="14.25" hidden="false" customHeight="false" outlineLevel="0" collapsed="false">
      <c r="A112" s="5" t="s">
        <v>522</v>
      </c>
      <c r="B112" s="14" t="s">
        <v>523</v>
      </c>
      <c r="C112" s="14" t="s">
        <v>524</v>
      </c>
      <c r="D112" s="14"/>
      <c r="E112" s="14"/>
      <c r="F112" s="14"/>
      <c r="G112" s="14"/>
      <c r="H112" s="14"/>
      <c r="I112" s="6"/>
    </row>
    <row r="113" customFormat="false" ht="14.25" hidden="false" customHeight="false" outlineLevel="0" collapsed="false">
      <c r="A113" s="5" t="s">
        <v>525</v>
      </c>
      <c r="B113" s="14" t="s">
        <v>526</v>
      </c>
      <c r="C113" s="14" t="s">
        <v>527</v>
      </c>
      <c r="D113" s="14"/>
      <c r="E113" s="14"/>
      <c r="F113" s="14"/>
      <c r="G113" s="14"/>
      <c r="H113" s="14"/>
      <c r="I113" s="6"/>
    </row>
    <row r="114" customFormat="false" ht="14.25" hidden="false" customHeight="false" outlineLevel="0" collapsed="false">
      <c r="A114" s="5" t="s">
        <v>528</v>
      </c>
      <c r="B114" s="14" t="s">
        <v>529</v>
      </c>
      <c r="C114" s="14" t="s">
        <v>530</v>
      </c>
      <c r="D114" s="14"/>
      <c r="E114" s="14"/>
      <c r="F114" s="14"/>
      <c r="G114" s="14"/>
      <c r="H114" s="14"/>
      <c r="I114" s="6"/>
    </row>
    <row r="115" customFormat="false" ht="25.5" hidden="false" customHeight="true" outlineLevel="0" collapsed="false">
      <c r="A115" s="7" t="s">
        <v>531</v>
      </c>
      <c r="B115" s="7"/>
      <c r="C115" s="7"/>
      <c r="D115" s="7"/>
      <c r="E115" s="7"/>
      <c r="F115" s="7"/>
      <c r="G115" s="7"/>
      <c r="H115" s="7"/>
      <c r="I115" s="7"/>
    </row>
    <row r="117" customFormat="false" ht="30" hidden="false" customHeight="true" outlineLevel="0" collapsed="false">
      <c r="A117" s="4" t="s">
        <v>532</v>
      </c>
      <c r="B117" s="4" t="s">
        <v>533</v>
      </c>
      <c r="C117" s="4"/>
      <c r="D117" s="4"/>
      <c r="E117" s="4"/>
      <c r="F117" s="4"/>
      <c r="G117" s="4"/>
      <c r="H117" s="4"/>
      <c r="I117" s="4"/>
    </row>
    <row r="118" customFormat="false" ht="14.25" hidden="false" customHeight="false" outlineLevel="0" collapsed="false">
      <c r="A118" s="5" t="s">
        <v>534</v>
      </c>
      <c r="B118" s="14" t="s">
        <v>535</v>
      </c>
      <c r="C118" s="14"/>
      <c r="D118" s="14"/>
      <c r="E118" s="14"/>
      <c r="F118" s="14"/>
      <c r="G118" s="14"/>
      <c r="H118" s="14"/>
      <c r="I118" s="6"/>
    </row>
    <row r="119" customFormat="false" ht="14.25" hidden="false" customHeight="false" outlineLevel="0" collapsed="false">
      <c r="A119" s="5" t="s">
        <v>536</v>
      </c>
      <c r="B119" s="14" t="s">
        <v>537</v>
      </c>
      <c r="C119" s="14"/>
      <c r="D119" s="14"/>
      <c r="E119" s="14"/>
      <c r="F119" s="14"/>
      <c r="G119" s="14"/>
      <c r="H119" s="14"/>
      <c r="I119" s="6"/>
    </row>
    <row r="120" customFormat="false" ht="14.25" hidden="false" customHeight="false" outlineLevel="0" collapsed="false">
      <c r="A120" s="5" t="s">
        <v>538</v>
      </c>
      <c r="B120" s="14" t="s">
        <v>539</v>
      </c>
      <c r="C120" s="14"/>
      <c r="D120" s="14"/>
      <c r="E120" s="14"/>
      <c r="F120" s="14"/>
      <c r="G120" s="14"/>
      <c r="H120" s="14"/>
      <c r="I120" s="6"/>
    </row>
    <row r="121" customFormat="false" ht="14.25" hidden="false" customHeight="false" outlineLevel="0" collapsed="false">
      <c r="A121" s="5" t="s">
        <v>540</v>
      </c>
      <c r="B121" s="14" t="s">
        <v>541</v>
      </c>
      <c r="C121" s="14"/>
      <c r="D121" s="14"/>
      <c r="E121" s="14"/>
      <c r="F121" s="14"/>
      <c r="G121" s="14"/>
      <c r="H121" s="14"/>
      <c r="I121" s="6"/>
    </row>
    <row r="122" customFormat="false" ht="14.25" hidden="false" customHeight="false" outlineLevel="0" collapsed="false">
      <c r="A122" s="5" t="s">
        <v>542</v>
      </c>
      <c r="B122" s="14" t="s">
        <v>543</v>
      </c>
      <c r="C122" s="14"/>
      <c r="D122" s="14"/>
      <c r="E122" s="14"/>
      <c r="F122" s="14"/>
      <c r="G122" s="14"/>
      <c r="H122" s="14"/>
      <c r="I122" s="6"/>
    </row>
    <row r="123" customFormat="false" ht="14.25" hidden="false" customHeight="false" outlineLevel="0" collapsed="false">
      <c r="A123" s="5" t="s">
        <v>240</v>
      </c>
      <c r="B123" s="14" t="s">
        <v>544</v>
      </c>
      <c r="C123" s="14"/>
      <c r="D123" s="14"/>
      <c r="E123" s="14"/>
      <c r="F123" s="14"/>
      <c r="G123" s="14"/>
      <c r="H123" s="14"/>
      <c r="I123" s="6"/>
    </row>
    <row r="124" customFormat="false" ht="14.25" hidden="false" customHeight="false" outlineLevel="0" collapsed="false">
      <c r="A124" s="5" t="s">
        <v>545</v>
      </c>
      <c r="B124" s="14" t="s">
        <v>546</v>
      </c>
      <c r="C124" s="14"/>
      <c r="D124" s="14"/>
      <c r="E124" s="14"/>
      <c r="F124" s="14"/>
      <c r="G124" s="14"/>
      <c r="H124" s="14"/>
      <c r="I124" s="6"/>
    </row>
    <row r="125" customFormat="false" ht="14.25" hidden="false" customHeight="false" outlineLevel="0" collapsed="false">
      <c r="A125" s="5" t="s">
        <v>547</v>
      </c>
      <c r="B125" s="14" t="s">
        <v>548</v>
      </c>
      <c r="C125" s="14"/>
      <c r="D125" s="14"/>
      <c r="E125" s="14"/>
      <c r="F125" s="14"/>
      <c r="G125" s="14"/>
      <c r="H125" s="14"/>
      <c r="I125" s="6"/>
    </row>
    <row r="126" customFormat="false" ht="14.25" hidden="false" customHeight="false" outlineLevel="0" collapsed="false">
      <c r="A126" s="5" t="s">
        <v>549</v>
      </c>
      <c r="B126" s="14" t="s">
        <v>550</v>
      </c>
      <c r="C126" s="14"/>
      <c r="D126" s="14"/>
      <c r="E126" s="14"/>
      <c r="F126" s="14"/>
      <c r="G126" s="14"/>
      <c r="H126" s="14"/>
      <c r="I126" s="6"/>
    </row>
    <row r="127" customFormat="false" ht="14.25" hidden="false" customHeight="false" outlineLevel="0" collapsed="false">
      <c r="A127" s="5" t="s">
        <v>551</v>
      </c>
      <c r="B127" s="14" t="s">
        <v>552</v>
      </c>
      <c r="C127" s="14"/>
      <c r="D127" s="14"/>
      <c r="E127" s="14"/>
      <c r="F127" s="14"/>
      <c r="G127" s="14"/>
      <c r="H127" s="14"/>
      <c r="I127" s="6"/>
    </row>
    <row r="128" customFormat="false" ht="14.25" hidden="false" customHeight="false" outlineLevel="0" collapsed="false">
      <c r="A128" s="5" t="s">
        <v>553</v>
      </c>
      <c r="B128" s="14" t="s">
        <v>554</v>
      </c>
      <c r="C128" s="14"/>
      <c r="D128" s="14"/>
      <c r="E128" s="14"/>
      <c r="F128" s="14"/>
      <c r="G128" s="14"/>
      <c r="H128" s="14"/>
      <c r="I128" s="6"/>
    </row>
    <row r="130" customFormat="false" ht="19.5" hidden="false" customHeight="true" outlineLevel="0" collapsed="false">
      <c r="A130" s="3" t="s">
        <v>555</v>
      </c>
      <c r="B130" s="3"/>
      <c r="C130" s="3"/>
      <c r="D130" s="3"/>
      <c r="E130" s="3"/>
      <c r="F130" s="3"/>
      <c r="G130" s="3"/>
      <c r="H130" s="3"/>
      <c r="I130" s="3"/>
    </row>
    <row r="131" customFormat="false" ht="30" hidden="false" customHeight="true" outlineLevel="0" collapsed="false">
      <c r="A131" s="4" t="s">
        <v>556</v>
      </c>
      <c r="B131" s="4" t="s">
        <v>557</v>
      </c>
      <c r="C131" s="4" t="s">
        <v>558</v>
      </c>
      <c r="D131" s="4"/>
      <c r="E131" s="4"/>
      <c r="F131" s="4"/>
      <c r="G131" s="4"/>
      <c r="H131" s="4"/>
      <c r="I131" s="4" t="s">
        <v>559</v>
      </c>
    </row>
    <row r="132" customFormat="false" ht="14.25" hidden="false" customHeight="false" outlineLevel="0" collapsed="false">
      <c r="A132" s="5" t="s">
        <v>560</v>
      </c>
      <c r="B132" s="14" t="s">
        <v>561</v>
      </c>
      <c r="C132" s="14" t="s">
        <v>562</v>
      </c>
      <c r="D132" s="14"/>
      <c r="E132" s="14"/>
      <c r="F132" s="14"/>
      <c r="G132" s="14"/>
      <c r="H132" s="14"/>
      <c r="I132" s="6" t="s">
        <v>563</v>
      </c>
    </row>
    <row r="133" customFormat="false" ht="14.25" hidden="false" customHeight="false" outlineLevel="0" collapsed="false">
      <c r="A133" s="5" t="s">
        <v>564</v>
      </c>
      <c r="B133" s="14" t="s">
        <v>565</v>
      </c>
      <c r="C133" s="14" t="s">
        <v>566</v>
      </c>
      <c r="D133" s="14"/>
      <c r="E133" s="14"/>
      <c r="F133" s="14"/>
      <c r="G133" s="14"/>
      <c r="H133" s="14"/>
      <c r="I133" s="6" t="s">
        <v>567</v>
      </c>
    </row>
    <row r="134" customFormat="false" ht="14.25" hidden="false" customHeight="false" outlineLevel="0" collapsed="false">
      <c r="A134" s="5" t="s">
        <v>568</v>
      </c>
      <c r="B134" s="14" t="s">
        <v>569</v>
      </c>
      <c r="C134" s="14" t="s">
        <v>570</v>
      </c>
      <c r="D134" s="14"/>
      <c r="E134" s="14"/>
      <c r="F134" s="14"/>
      <c r="G134" s="14"/>
      <c r="H134" s="14"/>
      <c r="I134" s="6" t="s">
        <v>571</v>
      </c>
    </row>
    <row r="135" customFormat="false" ht="14.25" hidden="false" customHeight="false" outlineLevel="0" collapsed="false">
      <c r="A135" s="5" t="s">
        <v>572</v>
      </c>
      <c r="B135" s="14" t="s">
        <v>573</v>
      </c>
      <c r="C135" s="14" t="s">
        <v>574</v>
      </c>
      <c r="D135" s="14"/>
      <c r="E135" s="14"/>
      <c r="F135" s="14"/>
      <c r="G135" s="14"/>
      <c r="H135" s="14"/>
      <c r="I135" s="6" t="s">
        <v>575</v>
      </c>
    </row>
    <row r="137" customFormat="false" ht="30" hidden="false" customHeight="true" outlineLevel="0" collapsed="false">
      <c r="A137" s="4" t="s">
        <v>576</v>
      </c>
      <c r="B137" s="4" t="s">
        <v>577</v>
      </c>
      <c r="C137" s="4"/>
      <c r="D137" s="4"/>
      <c r="E137" s="4"/>
      <c r="F137" s="4"/>
      <c r="G137" s="4"/>
      <c r="H137" s="4"/>
      <c r="I137" s="4" t="s">
        <v>578</v>
      </c>
    </row>
    <row r="138" customFormat="false" ht="14.25" hidden="false" customHeight="false" outlineLevel="0" collapsed="false">
      <c r="A138" s="5" t="s">
        <v>579</v>
      </c>
      <c r="B138" s="14" t="s">
        <v>580</v>
      </c>
      <c r="C138" s="14"/>
      <c r="D138" s="14"/>
      <c r="E138" s="14"/>
      <c r="F138" s="14"/>
      <c r="G138" s="14"/>
      <c r="H138" s="14"/>
      <c r="I138" s="6" t="s">
        <v>581</v>
      </c>
    </row>
    <row r="139" customFormat="false" ht="48" hidden="false" customHeight="true" outlineLevel="0" collapsed="false">
      <c r="A139" s="5" t="s">
        <v>582</v>
      </c>
      <c r="B139" s="14" t="s">
        <v>583</v>
      </c>
      <c r="C139" s="14"/>
      <c r="D139" s="14"/>
      <c r="E139" s="14"/>
      <c r="F139" s="14"/>
      <c r="G139" s="14"/>
      <c r="H139" s="14"/>
      <c r="I139" s="6" t="s">
        <v>584</v>
      </c>
    </row>
    <row r="140" customFormat="false" ht="14.25" hidden="false" customHeight="false" outlineLevel="0" collapsed="false">
      <c r="A140" s="5" t="s">
        <v>585</v>
      </c>
      <c r="B140" s="14" t="s">
        <v>586</v>
      </c>
      <c r="C140" s="14"/>
      <c r="D140" s="14"/>
      <c r="E140" s="14"/>
      <c r="F140" s="14"/>
      <c r="G140" s="14"/>
      <c r="H140" s="14"/>
      <c r="I140" s="6" t="s">
        <v>587</v>
      </c>
    </row>
    <row r="141" customFormat="false" ht="14.25" hidden="false" customHeight="false" outlineLevel="0" collapsed="false">
      <c r="A141" s="5" t="s">
        <v>588</v>
      </c>
      <c r="B141" s="14" t="s">
        <v>589</v>
      </c>
      <c r="C141" s="14"/>
      <c r="D141" s="14"/>
      <c r="E141" s="14"/>
      <c r="F141" s="14"/>
      <c r="G141" s="14"/>
      <c r="H141" s="14"/>
      <c r="I141" s="6" t="s">
        <v>590</v>
      </c>
    </row>
    <row r="142" customFormat="false" ht="14.25" hidden="false" customHeight="false" outlineLevel="0" collapsed="false">
      <c r="A142" s="5" t="s">
        <v>591</v>
      </c>
      <c r="B142" s="14" t="s">
        <v>589</v>
      </c>
      <c r="C142" s="14"/>
      <c r="D142" s="14"/>
      <c r="E142" s="14"/>
      <c r="F142" s="14"/>
      <c r="G142" s="14"/>
      <c r="H142" s="14"/>
      <c r="I142" s="6" t="s">
        <v>592</v>
      </c>
    </row>
    <row r="143" customFormat="false" ht="14.25" hidden="false" customHeight="false" outlineLevel="0" collapsed="false">
      <c r="A143" s="5" t="s">
        <v>593</v>
      </c>
      <c r="B143" s="14" t="s">
        <v>594</v>
      </c>
      <c r="C143" s="14"/>
      <c r="D143" s="14"/>
      <c r="E143" s="14"/>
      <c r="F143" s="14"/>
      <c r="G143" s="14"/>
      <c r="H143" s="14"/>
      <c r="I143" s="6" t="s">
        <v>595</v>
      </c>
    </row>
    <row r="145" customFormat="false" ht="19.5" hidden="false" customHeight="true" outlineLevel="0" collapsed="false">
      <c r="A145" s="3" t="s">
        <v>596</v>
      </c>
      <c r="B145" s="3"/>
      <c r="C145" s="3"/>
      <c r="D145" s="3"/>
      <c r="E145" s="3"/>
      <c r="F145" s="3"/>
      <c r="G145" s="3"/>
      <c r="H145" s="3"/>
      <c r="I145" s="3"/>
    </row>
    <row r="146" customFormat="false" ht="30" hidden="false" customHeight="true" outlineLevel="0" collapsed="false">
      <c r="A146" s="4" t="s">
        <v>597</v>
      </c>
      <c r="B146" s="4" t="s">
        <v>598</v>
      </c>
      <c r="C146" s="4"/>
      <c r="D146" s="4"/>
      <c r="E146" s="4"/>
      <c r="F146" s="4"/>
      <c r="G146" s="4"/>
      <c r="H146" s="4"/>
      <c r="I146" s="4" t="s">
        <v>339</v>
      </c>
    </row>
    <row r="147" customFormat="false" ht="24" hidden="false" customHeight="true" outlineLevel="0" collapsed="false">
      <c r="A147" s="5" t="s">
        <v>599</v>
      </c>
      <c r="B147" s="14" t="s">
        <v>600</v>
      </c>
      <c r="C147" s="14"/>
      <c r="D147" s="14"/>
      <c r="E147" s="14"/>
      <c r="F147" s="14"/>
      <c r="G147" s="14"/>
      <c r="H147" s="14"/>
      <c r="I147" s="6" t="s">
        <v>601</v>
      </c>
    </row>
    <row r="148" customFormat="false" ht="24" hidden="false" customHeight="true" outlineLevel="0" collapsed="false">
      <c r="A148" s="5" t="s">
        <v>602</v>
      </c>
      <c r="B148" s="14" t="s">
        <v>603</v>
      </c>
      <c r="C148" s="14"/>
      <c r="D148" s="14"/>
      <c r="E148" s="14"/>
      <c r="F148" s="14"/>
      <c r="G148" s="14"/>
      <c r="H148" s="14"/>
      <c r="I148" s="6" t="s">
        <v>604</v>
      </c>
    </row>
    <row r="149" customFormat="false" ht="24" hidden="false" customHeight="true" outlineLevel="0" collapsed="false">
      <c r="A149" s="5" t="s">
        <v>605</v>
      </c>
      <c r="B149" s="14" t="s">
        <v>606</v>
      </c>
      <c r="C149" s="14"/>
      <c r="D149" s="14"/>
      <c r="E149" s="14"/>
      <c r="F149" s="14"/>
      <c r="G149" s="14"/>
      <c r="H149" s="14"/>
      <c r="I149" s="6" t="s">
        <v>607</v>
      </c>
    </row>
    <row r="151" customFormat="false" ht="19.5" hidden="false" customHeight="true" outlineLevel="0" collapsed="false">
      <c r="A151" s="20" t="s">
        <v>608</v>
      </c>
      <c r="B151" s="20"/>
      <c r="C151" s="20"/>
      <c r="D151" s="20"/>
      <c r="E151" s="20"/>
      <c r="F151" s="20"/>
      <c r="G151" s="20"/>
      <c r="H151" s="20"/>
      <c r="I151" s="20"/>
    </row>
    <row r="152" customFormat="false" ht="30" hidden="false" customHeight="true" outlineLevel="0" collapsed="false">
      <c r="A152" s="4" t="s">
        <v>322</v>
      </c>
      <c r="B152" s="4" t="s">
        <v>609</v>
      </c>
      <c r="C152" s="4"/>
      <c r="D152" s="4"/>
      <c r="E152" s="4"/>
      <c r="F152" s="4"/>
      <c r="G152" s="4"/>
      <c r="H152" s="4"/>
      <c r="I152" s="4"/>
    </row>
    <row r="153" customFormat="false" ht="14.25" hidden="false" customHeight="false" outlineLevel="0" collapsed="false">
      <c r="A153" s="5" t="s">
        <v>610</v>
      </c>
      <c r="B153" s="14" t="s">
        <v>611</v>
      </c>
      <c r="C153" s="14"/>
      <c r="D153" s="14"/>
      <c r="E153" s="14"/>
      <c r="F153" s="14"/>
      <c r="G153" s="14"/>
      <c r="H153" s="14"/>
      <c r="I153" s="6"/>
    </row>
    <row r="154" customFormat="false" ht="14.25" hidden="false" customHeight="false" outlineLevel="0" collapsed="false">
      <c r="A154" s="5" t="s">
        <v>612</v>
      </c>
      <c r="B154" s="14" t="s">
        <v>613</v>
      </c>
      <c r="C154" s="14"/>
      <c r="D154" s="14"/>
      <c r="E154" s="14"/>
      <c r="F154" s="14"/>
      <c r="G154" s="14"/>
      <c r="H154" s="14"/>
      <c r="I154" s="6"/>
    </row>
    <row r="155" customFormat="false" ht="14.25" hidden="false" customHeight="false" outlineLevel="0" collapsed="false">
      <c r="A155" s="5" t="s">
        <v>614</v>
      </c>
      <c r="B155" s="14" t="s">
        <v>615</v>
      </c>
      <c r="C155" s="14"/>
      <c r="D155" s="14"/>
      <c r="E155" s="14"/>
      <c r="F155" s="14"/>
      <c r="G155" s="14"/>
      <c r="H155" s="14"/>
      <c r="I155" s="6"/>
    </row>
    <row r="156" customFormat="false" ht="24" hidden="false" customHeight="true" outlineLevel="0" collapsed="false">
      <c r="A156" s="5" t="s">
        <v>616</v>
      </c>
      <c r="B156" s="14" t="s">
        <v>617</v>
      </c>
      <c r="C156" s="14"/>
      <c r="D156" s="14"/>
      <c r="E156" s="14"/>
      <c r="F156" s="14"/>
      <c r="G156" s="14"/>
      <c r="H156" s="14"/>
      <c r="I156" s="6" t="s">
        <v>618</v>
      </c>
    </row>
    <row r="157" customFormat="false" ht="14.25" hidden="false" customHeight="false" outlineLevel="0" collapsed="false">
      <c r="A157" s="5" t="s">
        <v>619</v>
      </c>
      <c r="B157" s="14" t="s">
        <v>620</v>
      </c>
      <c r="C157" s="14"/>
      <c r="D157" s="14"/>
      <c r="E157" s="14"/>
      <c r="F157" s="14"/>
      <c r="G157" s="14"/>
      <c r="H157" s="14"/>
      <c r="I157" s="6"/>
    </row>
    <row r="158" customFormat="false" ht="14.25" hidden="false" customHeight="false" outlineLevel="0" collapsed="false">
      <c r="A158" s="5" t="s">
        <v>621</v>
      </c>
      <c r="B158" s="14" t="s">
        <v>622</v>
      </c>
      <c r="C158" s="14"/>
      <c r="D158" s="14"/>
      <c r="E158" s="14"/>
      <c r="F158" s="14"/>
      <c r="G158" s="14"/>
      <c r="H158" s="14"/>
      <c r="I158" s="6"/>
    </row>
    <row r="159" customFormat="false" ht="14.25" hidden="false" customHeight="false" outlineLevel="0" collapsed="false">
      <c r="A159" s="5" t="s">
        <v>623</v>
      </c>
      <c r="B159" s="14" t="s">
        <v>624</v>
      </c>
      <c r="C159" s="14"/>
      <c r="D159" s="14"/>
      <c r="E159" s="14"/>
      <c r="F159" s="14"/>
      <c r="G159" s="14"/>
      <c r="H159" s="14"/>
      <c r="I159" s="6"/>
    </row>
    <row r="160" customFormat="false" ht="14.25" hidden="false" customHeight="false" outlineLevel="0" collapsed="false">
      <c r="A160" s="5" t="s">
        <v>625</v>
      </c>
      <c r="B160" s="14" t="s">
        <v>417</v>
      </c>
      <c r="C160" s="14"/>
      <c r="D160" s="14"/>
      <c r="E160" s="14"/>
      <c r="F160" s="14"/>
      <c r="G160" s="14"/>
      <c r="H160" s="14"/>
      <c r="I160" s="6"/>
    </row>
    <row r="161" customFormat="false" ht="14.25" hidden="false" customHeight="false" outlineLevel="0" collapsed="false">
      <c r="A161" s="5" t="s">
        <v>626</v>
      </c>
      <c r="B161" s="14" t="s">
        <v>421</v>
      </c>
      <c r="C161" s="14"/>
      <c r="D161" s="14"/>
      <c r="E161" s="14"/>
      <c r="F161" s="14"/>
      <c r="G161" s="14"/>
      <c r="H161" s="14"/>
      <c r="I161" s="6"/>
    </row>
    <row r="162" customFormat="false" ht="14.25" hidden="false" customHeight="false" outlineLevel="0" collapsed="false">
      <c r="A162" s="5" t="s">
        <v>627</v>
      </c>
      <c r="B162" s="14" t="s">
        <v>434</v>
      </c>
      <c r="C162" s="14"/>
      <c r="D162" s="14"/>
      <c r="E162" s="14"/>
      <c r="F162" s="14"/>
      <c r="G162" s="14"/>
      <c r="H162" s="14"/>
      <c r="I162" s="6"/>
    </row>
    <row r="163" customFormat="false" ht="14.25" hidden="false" customHeight="false" outlineLevel="0" collapsed="false">
      <c r="A163" s="5" t="s">
        <v>628</v>
      </c>
      <c r="B163" s="14" t="s">
        <v>629</v>
      </c>
      <c r="C163" s="14"/>
      <c r="D163" s="14"/>
      <c r="E163" s="14"/>
      <c r="F163" s="14"/>
      <c r="G163" s="14"/>
      <c r="H163" s="14"/>
      <c r="I163" s="6"/>
    </row>
    <row r="164" customFormat="false" ht="14.25" hidden="false" customHeight="false" outlineLevel="0" collapsed="false">
      <c r="A164" s="5" t="s">
        <v>630</v>
      </c>
      <c r="B164" s="14" t="s">
        <v>631</v>
      </c>
      <c r="C164" s="14"/>
      <c r="D164" s="14"/>
      <c r="E164" s="14"/>
      <c r="F164" s="14"/>
      <c r="G164" s="14"/>
      <c r="H164" s="14"/>
      <c r="I164" s="6"/>
    </row>
    <row r="165" customFormat="false" ht="14.25" hidden="false" customHeight="false" outlineLevel="0" collapsed="false">
      <c r="A165" s="5" t="s">
        <v>632</v>
      </c>
      <c r="B165" s="14" t="s">
        <v>633</v>
      </c>
      <c r="C165" s="14"/>
      <c r="D165" s="14"/>
      <c r="E165" s="14"/>
      <c r="F165" s="14"/>
      <c r="G165" s="14"/>
      <c r="H165" s="14"/>
      <c r="I165" s="6"/>
    </row>
    <row r="166" customFormat="false" ht="14.25" hidden="false" customHeight="false" outlineLevel="0" collapsed="false">
      <c r="A166" s="5" t="s">
        <v>634</v>
      </c>
      <c r="B166" s="14" t="s">
        <v>635</v>
      </c>
      <c r="C166" s="14"/>
      <c r="D166" s="14"/>
      <c r="E166" s="14"/>
      <c r="F166" s="14"/>
      <c r="G166" s="14"/>
      <c r="H166" s="14"/>
      <c r="I166" s="6"/>
    </row>
    <row r="168" customFormat="false" ht="90.75" hidden="false" customHeight="true" outlineLevel="0" collapsed="false">
      <c r="A168" s="13" t="s">
        <v>636</v>
      </c>
      <c r="B168" s="13"/>
      <c r="C168" s="13"/>
      <c r="D168" s="13"/>
      <c r="E168" s="13"/>
      <c r="F168" s="13"/>
      <c r="G168" s="13"/>
      <c r="H168" s="13"/>
      <c r="I168" s="13"/>
    </row>
  </sheetData>
  <mergeCells count="131">
    <mergeCell ref="A1:I1"/>
    <mergeCell ref="A2:I2"/>
    <mergeCell ref="A4:I4"/>
    <mergeCell ref="B6:H6"/>
    <mergeCell ref="B7:H7"/>
    <mergeCell ref="B8:H8"/>
    <mergeCell ref="B9:H9"/>
    <mergeCell ref="B10:H10"/>
    <mergeCell ref="B11:H11"/>
    <mergeCell ref="B12:H12"/>
    <mergeCell ref="B13:H13"/>
    <mergeCell ref="A15:I15"/>
    <mergeCell ref="A16:I16"/>
    <mergeCell ref="A17:I17"/>
    <mergeCell ref="A18:I18"/>
    <mergeCell ref="A20:I20"/>
    <mergeCell ref="A21:I21"/>
    <mergeCell ref="B23:H23"/>
    <mergeCell ref="B24:H24"/>
    <mergeCell ref="B25:H25"/>
    <mergeCell ref="A27:I27"/>
    <mergeCell ref="A28:I28"/>
    <mergeCell ref="B30:H30"/>
    <mergeCell ref="B31:H31"/>
    <mergeCell ref="A33:I33"/>
    <mergeCell ref="B35:H35"/>
    <mergeCell ref="B36:H36"/>
    <mergeCell ref="B37:H37"/>
    <mergeCell ref="B38:H38"/>
    <mergeCell ref="B39:H39"/>
    <mergeCell ref="A40:I40"/>
    <mergeCell ref="C43:H43"/>
    <mergeCell ref="C44:H44"/>
    <mergeCell ref="C45:H45"/>
    <mergeCell ref="C46:H46"/>
    <mergeCell ref="A47:I47"/>
    <mergeCell ref="A49:I49"/>
    <mergeCell ref="E51:H51"/>
    <mergeCell ref="E52:H52"/>
    <mergeCell ref="A54:I54"/>
    <mergeCell ref="A56:I56"/>
    <mergeCell ref="D58:H58"/>
    <mergeCell ref="D59:H59"/>
    <mergeCell ref="D60:H60"/>
    <mergeCell ref="D61:H61"/>
    <mergeCell ref="D62:H62"/>
    <mergeCell ref="D63:H63"/>
    <mergeCell ref="D64:H64"/>
    <mergeCell ref="D65:H65"/>
    <mergeCell ref="D66:H66"/>
    <mergeCell ref="D67:H67"/>
    <mergeCell ref="A70:I70"/>
    <mergeCell ref="A72:I72"/>
    <mergeCell ref="A73:I73"/>
    <mergeCell ref="C75:H75"/>
    <mergeCell ref="C76:H76"/>
    <mergeCell ref="C77:H77"/>
    <mergeCell ref="C78:H78"/>
    <mergeCell ref="A79:I79"/>
    <mergeCell ref="A81:I81"/>
    <mergeCell ref="D83:H83"/>
    <mergeCell ref="D84:H84"/>
    <mergeCell ref="D85:H85"/>
    <mergeCell ref="D86:H86"/>
    <mergeCell ref="D87:H87"/>
    <mergeCell ref="D88:H88"/>
    <mergeCell ref="D89:H89"/>
    <mergeCell ref="D90:H90"/>
    <mergeCell ref="D91:H91"/>
    <mergeCell ref="D92:H92"/>
    <mergeCell ref="D93:H93"/>
    <mergeCell ref="D94:H94"/>
    <mergeCell ref="D95:H95"/>
    <mergeCell ref="D96:H96"/>
    <mergeCell ref="D97:H97"/>
    <mergeCell ref="D98:H98"/>
    <mergeCell ref="A100:I100"/>
    <mergeCell ref="D102:H102"/>
    <mergeCell ref="D103:H103"/>
    <mergeCell ref="D104:H104"/>
    <mergeCell ref="D105:H105"/>
    <mergeCell ref="D106:H106"/>
    <mergeCell ref="D107:H107"/>
    <mergeCell ref="D108:H108"/>
    <mergeCell ref="D111:H111"/>
    <mergeCell ref="D112:H112"/>
    <mergeCell ref="D113:H113"/>
    <mergeCell ref="D114:H114"/>
    <mergeCell ref="A115:I115"/>
    <mergeCell ref="B118:H118"/>
    <mergeCell ref="B119:H119"/>
    <mergeCell ref="B120:H120"/>
    <mergeCell ref="B121:H121"/>
    <mergeCell ref="B122:H122"/>
    <mergeCell ref="B123:H123"/>
    <mergeCell ref="B124:H124"/>
    <mergeCell ref="B125:H125"/>
    <mergeCell ref="B126:H126"/>
    <mergeCell ref="B127:H127"/>
    <mergeCell ref="B128:H128"/>
    <mergeCell ref="A130:I130"/>
    <mergeCell ref="D132:H132"/>
    <mergeCell ref="D133:H133"/>
    <mergeCell ref="D134:H134"/>
    <mergeCell ref="D135:H135"/>
    <mergeCell ref="B138:H138"/>
    <mergeCell ref="B139:H139"/>
    <mergeCell ref="B140:H140"/>
    <mergeCell ref="B141:H141"/>
    <mergeCell ref="B142:H142"/>
    <mergeCell ref="B143:H143"/>
    <mergeCell ref="A145:I145"/>
    <mergeCell ref="B147:H147"/>
    <mergeCell ref="B148:H148"/>
    <mergeCell ref="B149:H149"/>
    <mergeCell ref="A151:I151"/>
    <mergeCell ref="B153:H153"/>
    <mergeCell ref="B154:H154"/>
    <mergeCell ref="B155:H155"/>
    <mergeCell ref="B156:H156"/>
    <mergeCell ref="B157:H157"/>
    <mergeCell ref="B158:H158"/>
    <mergeCell ref="B159:H159"/>
    <mergeCell ref="B160:H160"/>
    <mergeCell ref="B161:H161"/>
    <mergeCell ref="B162:H162"/>
    <mergeCell ref="B163:H163"/>
    <mergeCell ref="B164:H164"/>
    <mergeCell ref="B165:H165"/>
    <mergeCell ref="B166:H166"/>
    <mergeCell ref="A168:I1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9765625" defaultRowHeight="14.25" customHeight="false"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11"/>
    <col collapsed="false" customWidth="true" hidden="false" outlineLevel="0" max="4" min="4" style="0" width="12"/>
    <col collapsed="false" customWidth="true" hidden="false" outlineLevel="0" max="5" min="5" style="0" width="16"/>
    <col collapsed="false" customWidth="true" hidden="false" outlineLevel="0" max="8" min="6" style="0" width="12"/>
    <col collapsed="false" customWidth="true" hidden="false" outlineLevel="0" max="9" min="9" style="0" width="36"/>
  </cols>
  <sheetData>
    <row r="1" customFormat="false" ht="25.5" hidden="false" customHeight="true" outlineLevel="0" collapsed="false">
      <c r="A1" s="1" t="s">
        <v>637</v>
      </c>
      <c r="B1" s="1"/>
      <c r="C1" s="1"/>
      <c r="D1" s="1"/>
      <c r="E1" s="1"/>
      <c r="F1" s="1"/>
      <c r="G1" s="1"/>
      <c r="H1" s="1"/>
      <c r="I1" s="1"/>
    </row>
    <row r="2" customFormat="false" ht="25.5" hidden="false" customHeight="true" outlineLevel="0" collapsed="false">
      <c r="A2" s="2" t="s">
        <v>638</v>
      </c>
      <c r="B2" s="2"/>
      <c r="C2" s="2"/>
      <c r="D2" s="2"/>
      <c r="E2" s="2"/>
      <c r="F2" s="2"/>
      <c r="G2" s="2"/>
      <c r="H2" s="2"/>
      <c r="I2" s="2"/>
    </row>
    <row r="4" customFormat="false" ht="19.5" hidden="false" customHeight="true" outlineLevel="0" collapsed="false">
      <c r="A4" s="3" t="s">
        <v>639</v>
      </c>
      <c r="B4" s="3"/>
      <c r="C4" s="3"/>
      <c r="D4" s="3"/>
      <c r="E4" s="3"/>
      <c r="F4" s="3"/>
      <c r="G4" s="3"/>
      <c r="H4" s="3"/>
      <c r="I4" s="3"/>
    </row>
    <row r="5" customFormat="false" ht="30" hidden="false" customHeight="true" outlineLevel="0" collapsed="false">
      <c r="A5" s="4" t="s">
        <v>90</v>
      </c>
      <c r="B5" s="4" t="s">
        <v>91</v>
      </c>
      <c r="C5" s="4"/>
      <c r="D5" s="4"/>
      <c r="E5" s="4"/>
      <c r="F5" s="4"/>
      <c r="G5" s="4"/>
      <c r="H5" s="4"/>
      <c r="I5" s="4" t="s">
        <v>92</v>
      </c>
    </row>
    <row r="6" customFormat="false" ht="14.25" hidden="false" customHeight="false" outlineLevel="0" collapsed="false">
      <c r="A6" s="5" t="s">
        <v>640</v>
      </c>
      <c r="B6" s="14" t="s">
        <v>641</v>
      </c>
      <c r="C6" s="14"/>
      <c r="D6" s="14"/>
      <c r="E6" s="14"/>
      <c r="F6" s="14"/>
      <c r="G6" s="14"/>
      <c r="H6" s="14"/>
      <c r="I6" s="6"/>
    </row>
    <row r="7" customFormat="false" ht="24" hidden="false" customHeight="true" outlineLevel="0" collapsed="false">
      <c r="A7" s="5" t="s">
        <v>642</v>
      </c>
      <c r="B7" s="14" t="s">
        <v>643</v>
      </c>
      <c r="C7" s="14"/>
      <c r="D7" s="14"/>
      <c r="E7" s="14"/>
      <c r="F7" s="14"/>
      <c r="G7" s="14"/>
      <c r="H7" s="14"/>
      <c r="I7" s="6" t="s">
        <v>644</v>
      </c>
    </row>
    <row r="8" customFormat="false" ht="24" hidden="false" customHeight="true" outlineLevel="0" collapsed="false">
      <c r="A8" s="5" t="s">
        <v>96</v>
      </c>
      <c r="B8" s="14" t="s">
        <v>645</v>
      </c>
      <c r="C8" s="14"/>
      <c r="D8" s="14"/>
      <c r="E8" s="14"/>
      <c r="F8" s="14"/>
      <c r="G8" s="14"/>
      <c r="H8" s="14"/>
      <c r="I8" s="6" t="s">
        <v>646</v>
      </c>
    </row>
    <row r="9" customFormat="false" ht="14.25" hidden="false" customHeight="false" outlineLevel="0" collapsed="false">
      <c r="A9" s="5" t="s">
        <v>647</v>
      </c>
      <c r="B9" s="14" t="s">
        <v>648</v>
      </c>
      <c r="C9" s="14"/>
      <c r="D9" s="14"/>
      <c r="E9" s="14"/>
      <c r="F9" s="14"/>
      <c r="G9" s="14"/>
      <c r="H9" s="14"/>
      <c r="I9" s="6" t="s">
        <v>649</v>
      </c>
    </row>
    <row r="10" customFormat="false" ht="14.25" hidden="false" customHeight="false" outlineLevel="0" collapsed="false">
      <c r="A10" s="5" t="s">
        <v>650</v>
      </c>
      <c r="B10" s="14" t="s">
        <v>651</v>
      </c>
      <c r="C10" s="14"/>
      <c r="D10" s="14"/>
      <c r="E10" s="14"/>
      <c r="F10" s="14"/>
      <c r="G10" s="14"/>
      <c r="H10" s="14"/>
      <c r="I10" s="6" t="s">
        <v>652</v>
      </c>
    </row>
    <row r="12" customFormat="false" ht="19.5" hidden="false" customHeight="true" outlineLevel="0" collapsed="false">
      <c r="A12" s="3" t="s">
        <v>653</v>
      </c>
      <c r="B12" s="3"/>
      <c r="C12" s="3"/>
      <c r="D12" s="3"/>
      <c r="E12" s="3"/>
      <c r="F12" s="3"/>
      <c r="G12" s="3"/>
      <c r="H12" s="3"/>
      <c r="I12" s="3"/>
    </row>
    <row r="13" customFormat="false" ht="30" hidden="false" customHeight="true" outlineLevel="0" collapsed="false">
      <c r="A13" s="4" t="s">
        <v>373</v>
      </c>
      <c r="B13" s="4" t="s">
        <v>155</v>
      </c>
      <c r="C13" s="4" t="s">
        <v>188</v>
      </c>
      <c r="D13" s="4" t="s">
        <v>375</v>
      </c>
      <c r="E13" s="4" t="s">
        <v>654</v>
      </c>
      <c r="F13" s="4"/>
      <c r="G13" s="4"/>
      <c r="H13" s="4"/>
      <c r="I13" s="4" t="s">
        <v>92</v>
      </c>
    </row>
    <row r="14" customFormat="false" ht="14.25" hidden="false" customHeight="false" outlineLevel="0" collapsed="false">
      <c r="A14" s="5" t="s">
        <v>655</v>
      </c>
      <c r="B14" s="14" t="s">
        <v>656</v>
      </c>
      <c r="C14" s="15" t="n">
        <v>2</v>
      </c>
      <c r="D14" s="15" t="n">
        <v>4</v>
      </c>
      <c r="E14" s="15" t="n">
        <v>50</v>
      </c>
      <c r="F14" s="25"/>
      <c r="G14" s="25"/>
      <c r="H14" s="25"/>
    </row>
    <row r="15" customFormat="false" ht="14.25" hidden="false" customHeight="false" outlineLevel="0" collapsed="false">
      <c r="A15" s="5" t="s">
        <v>657</v>
      </c>
      <c r="B15" s="14" t="s">
        <v>658</v>
      </c>
      <c r="C15" s="15" t="n">
        <v>2</v>
      </c>
      <c r="D15" s="15" t="n">
        <v>8</v>
      </c>
      <c r="E15" s="15" t="n">
        <v>100</v>
      </c>
      <c r="F15" s="25"/>
      <c r="G15" s="25"/>
      <c r="H15" s="25"/>
    </row>
    <row r="16" customFormat="false" ht="14.25" hidden="false" customHeight="false" outlineLevel="0" collapsed="false">
      <c r="A16" s="8" t="s">
        <v>381</v>
      </c>
      <c r="B16" s="9"/>
      <c r="C16" s="16" t="n">
        <f aca="false">SUM(C14:C15)</f>
        <v>4</v>
      </c>
      <c r="D16" s="16" t="n">
        <f aca="false">SUM(D14:D15)</f>
        <v>12</v>
      </c>
      <c r="E16" s="16" t="n">
        <f aca="false">SUM(E14:E15)</f>
        <v>150</v>
      </c>
      <c r="F16" s="9"/>
      <c r="G16" s="9"/>
      <c r="H16" s="9"/>
      <c r="I16" s="9"/>
    </row>
    <row r="17" customFormat="false" ht="25.5" hidden="false" customHeight="true" outlineLevel="0" collapsed="false">
      <c r="A17" s="7" t="s">
        <v>659</v>
      </c>
      <c r="B17" s="7"/>
      <c r="C17" s="7"/>
      <c r="D17" s="7"/>
      <c r="E17" s="7"/>
      <c r="F17" s="7"/>
      <c r="G17" s="7"/>
      <c r="H17" s="7"/>
      <c r="I17" s="7"/>
    </row>
    <row r="19" customFormat="false" ht="19.5" hidden="false" customHeight="true" outlineLevel="0" collapsed="false">
      <c r="A19" s="3" t="s">
        <v>660</v>
      </c>
      <c r="B19" s="3"/>
      <c r="C19" s="3"/>
      <c r="D19" s="3"/>
      <c r="E19" s="3"/>
      <c r="F19" s="3"/>
      <c r="G19" s="3"/>
      <c r="H19" s="3"/>
      <c r="I19" s="3"/>
    </row>
    <row r="20" customFormat="false" ht="30" hidden="false" customHeight="true" outlineLevel="0" collapsed="false">
      <c r="A20" s="4" t="s">
        <v>373</v>
      </c>
      <c r="B20" s="4" t="s">
        <v>661</v>
      </c>
      <c r="C20" s="4" t="s">
        <v>662</v>
      </c>
      <c r="D20" s="4"/>
      <c r="E20" s="4"/>
      <c r="F20" s="4"/>
      <c r="G20" s="4"/>
      <c r="H20" s="4"/>
      <c r="I20" s="4"/>
    </row>
    <row r="21" customFormat="false" ht="14.25" hidden="false" customHeight="false" outlineLevel="0" collapsed="false">
      <c r="A21" s="5" t="s">
        <v>663</v>
      </c>
      <c r="B21" s="14" t="s">
        <v>664</v>
      </c>
      <c r="C21" s="14" t="s">
        <v>665</v>
      </c>
      <c r="D21" s="14"/>
      <c r="E21" s="14"/>
      <c r="F21" s="14"/>
      <c r="G21" s="14"/>
      <c r="H21" s="14"/>
      <c r="I21" s="6"/>
    </row>
    <row r="22" customFormat="false" ht="14.25" hidden="false" customHeight="false" outlineLevel="0" collapsed="false">
      <c r="A22" s="5" t="s">
        <v>666</v>
      </c>
      <c r="B22" s="14" t="s">
        <v>667</v>
      </c>
      <c r="C22" s="14" t="s">
        <v>668</v>
      </c>
      <c r="D22" s="14"/>
      <c r="E22" s="14"/>
      <c r="F22" s="14"/>
      <c r="G22" s="14"/>
      <c r="H22" s="14"/>
      <c r="I22" s="6"/>
    </row>
    <row r="24" customFormat="false" ht="19.5" hidden="false" customHeight="true" outlineLevel="0" collapsed="false">
      <c r="A24" s="3" t="s">
        <v>669</v>
      </c>
      <c r="B24" s="3"/>
      <c r="C24" s="3"/>
      <c r="D24" s="3"/>
      <c r="E24" s="3"/>
      <c r="F24" s="3"/>
      <c r="G24" s="3"/>
      <c r="H24" s="3"/>
      <c r="I24" s="3"/>
    </row>
    <row r="25" customFormat="false" ht="30" hidden="false" customHeight="true" outlineLevel="0" collapsed="false">
      <c r="A25" s="4" t="s">
        <v>90</v>
      </c>
      <c r="B25" s="4" t="s">
        <v>609</v>
      </c>
      <c r="C25" s="4"/>
      <c r="D25" s="4"/>
      <c r="E25" s="4"/>
      <c r="F25" s="4"/>
      <c r="G25" s="4"/>
      <c r="H25" s="4"/>
      <c r="I25" s="4"/>
    </row>
    <row r="26" customFormat="false" ht="14.25" hidden="false" customHeight="false" outlineLevel="0" collapsed="false">
      <c r="A26" s="5" t="s">
        <v>670</v>
      </c>
      <c r="B26" s="14" t="s">
        <v>671</v>
      </c>
      <c r="C26" s="14"/>
      <c r="D26" s="14"/>
      <c r="E26" s="14"/>
      <c r="F26" s="14"/>
      <c r="G26" s="14"/>
      <c r="H26" s="14"/>
      <c r="I26" s="6"/>
    </row>
    <row r="27" customFormat="false" ht="14.25" hidden="false" customHeight="false" outlineLevel="0" collapsed="false">
      <c r="A27" s="5" t="s">
        <v>672</v>
      </c>
      <c r="B27" s="14" t="s">
        <v>673</v>
      </c>
      <c r="C27" s="14"/>
      <c r="D27" s="14"/>
      <c r="E27" s="14"/>
      <c r="F27" s="14"/>
      <c r="G27" s="14"/>
      <c r="H27" s="14"/>
      <c r="I27" s="6"/>
    </row>
    <row r="28" customFormat="false" ht="14.25" hidden="false" customHeight="false" outlineLevel="0" collapsed="false">
      <c r="A28" s="5" t="s">
        <v>674</v>
      </c>
      <c r="B28" s="14" t="s">
        <v>675</v>
      </c>
      <c r="C28" s="14"/>
      <c r="D28" s="14"/>
      <c r="E28" s="14"/>
      <c r="F28" s="14"/>
      <c r="G28" s="14"/>
      <c r="H28" s="14"/>
      <c r="I28" s="6"/>
    </row>
    <row r="29" customFormat="false" ht="14.25" hidden="false" customHeight="false" outlineLevel="0" collapsed="false">
      <c r="A29" s="5" t="s">
        <v>676</v>
      </c>
      <c r="B29" s="14" t="s">
        <v>677</v>
      </c>
      <c r="C29" s="14"/>
      <c r="D29" s="14"/>
      <c r="E29" s="14"/>
      <c r="F29" s="14"/>
      <c r="G29" s="14"/>
      <c r="H29" s="14"/>
      <c r="I29" s="6"/>
    </row>
    <row r="31" customFormat="false" ht="19.5" hidden="false" customHeight="true" outlineLevel="0" collapsed="false">
      <c r="A31" s="3" t="s">
        <v>678</v>
      </c>
      <c r="B31" s="3"/>
      <c r="C31" s="3"/>
      <c r="D31" s="3"/>
      <c r="E31" s="3"/>
      <c r="F31" s="3"/>
      <c r="G31" s="3"/>
      <c r="H31" s="3"/>
      <c r="I31" s="3"/>
    </row>
    <row r="32" customFormat="false" ht="30" hidden="false" customHeight="true" outlineLevel="0" collapsed="false">
      <c r="A32" s="4" t="s">
        <v>155</v>
      </c>
      <c r="B32" s="4" t="s">
        <v>609</v>
      </c>
      <c r="C32" s="4"/>
      <c r="D32" s="4"/>
      <c r="E32" s="4"/>
      <c r="F32" s="4"/>
      <c r="G32" s="4"/>
      <c r="H32" s="4"/>
      <c r="I32" s="4" t="s">
        <v>339</v>
      </c>
    </row>
    <row r="33" customFormat="false" ht="36" hidden="false" customHeight="true" outlineLevel="0" collapsed="false">
      <c r="A33" s="5" t="s">
        <v>679</v>
      </c>
      <c r="B33" s="14" t="s">
        <v>680</v>
      </c>
      <c r="C33" s="14"/>
      <c r="D33" s="14"/>
      <c r="E33" s="14"/>
      <c r="F33" s="14"/>
      <c r="G33" s="14"/>
      <c r="H33" s="14"/>
      <c r="I33" s="6" t="s">
        <v>681</v>
      </c>
    </row>
    <row r="34" customFormat="false" ht="14.25" hidden="false" customHeight="false" outlineLevel="0" collapsed="false">
      <c r="A34" s="5" t="s">
        <v>437</v>
      </c>
      <c r="B34" s="14" t="s">
        <v>682</v>
      </c>
      <c r="C34" s="14"/>
      <c r="D34" s="14"/>
      <c r="E34" s="14"/>
      <c r="F34" s="14"/>
      <c r="G34" s="14"/>
      <c r="H34" s="14"/>
      <c r="I34" s="6" t="s">
        <v>683</v>
      </c>
    </row>
    <row r="35" customFormat="false" ht="36" hidden="false" customHeight="true" outlineLevel="0" collapsed="false">
      <c r="A35" s="5" t="s">
        <v>684</v>
      </c>
      <c r="B35" s="14" t="s">
        <v>685</v>
      </c>
      <c r="C35" s="14"/>
      <c r="D35" s="14"/>
      <c r="E35" s="14"/>
      <c r="F35" s="14"/>
      <c r="G35" s="14"/>
      <c r="H35" s="14"/>
      <c r="I35" s="6" t="s">
        <v>686</v>
      </c>
    </row>
    <row r="36" customFormat="false" ht="24" hidden="false" customHeight="true" outlineLevel="0" collapsed="false">
      <c r="A36" s="5" t="s">
        <v>687</v>
      </c>
      <c r="B36" s="14" t="s">
        <v>688</v>
      </c>
      <c r="C36" s="14"/>
      <c r="D36" s="14"/>
      <c r="E36" s="14"/>
      <c r="F36" s="14"/>
      <c r="G36" s="14"/>
      <c r="H36" s="14"/>
      <c r="I36" s="6" t="s">
        <v>689</v>
      </c>
    </row>
    <row r="38" customFormat="false" ht="19.5" hidden="false" customHeight="true" outlineLevel="0" collapsed="false">
      <c r="A38" s="3" t="s">
        <v>690</v>
      </c>
      <c r="B38" s="3"/>
      <c r="C38" s="3"/>
      <c r="D38" s="3"/>
      <c r="E38" s="3"/>
      <c r="F38" s="3"/>
      <c r="G38" s="3"/>
      <c r="H38" s="3"/>
      <c r="I38" s="3"/>
    </row>
    <row r="39" customFormat="false" ht="30" hidden="false" customHeight="true" outlineLevel="0" collapsed="false">
      <c r="A39" s="4" t="s">
        <v>373</v>
      </c>
      <c r="B39" s="4" t="s">
        <v>490</v>
      </c>
      <c r="C39" s="4" t="s">
        <v>136</v>
      </c>
      <c r="D39" s="4"/>
      <c r="E39" s="4"/>
      <c r="F39" s="4"/>
      <c r="G39" s="4"/>
      <c r="H39" s="4"/>
      <c r="I39" s="4" t="s">
        <v>691</v>
      </c>
    </row>
    <row r="40" customFormat="false" ht="24" hidden="false" customHeight="true" outlineLevel="0" collapsed="false">
      <c r="A40" s="5" t="s">
        <v>692</v>
      </c>
      <c r="B40" s="14" t="s">
        <v>497</v>
      </c>
      <c r="C40" s="14" t="s">
        <v>693</v>
      </c>
      <c r="D40" s="14"/>
      <c r="E40" s="14"/>
      <c r="F40" s="14"/>
      <c r="G40" s="14"/>
      <c r="H40" s="14"/>
      <c r="I40" s="6" t="s">
        <v>694</v>
      </c>
    </row>
    <row r="41" customFormat="false" ht="24" hidden="false" customHeight="true" outlineLevel="0" collapsed="false">
      <c r="A41" s="5" t="s">
        <v>692</v>
      </c>
      <c r="B41" s="14" t="s">
        <v>493</v>
      </c>
      <c r="C41" s="14" t="s">
        <v>695</v>
      </c>
      <c r="D41" s="14"/>
      <c r="E41" s="14"/>
      <c r="F41" s="14"/>
      <c r="G41" s="14"/>
      <c r="H41" s="14"/>
      <c r="I41" s="6" t="s">
        <v>696</v>
      </c>
    </row>
    <row r="42" customFormat="false" ht="24" hidden="false" customHeight="true" outlineLevel="0" collapsed="false">
      <c r="A42" s="5" t="s">
        <v>692</v>
      </c>
      <c r="B42" s="14" t="s">
        <v>697</v>
      </c>
      <c r="C42" s="14" t="s">
        <v>698</v>
      </c>
      <c r="D42" s="14"/>
      <c r="E42" s="14"/>
      <c r="F42" s="14"/>
      <c r="G42" s="14"/>
      <c r="H42" s="14"/>
      <c r="I42" s="6" t="s">
        <v>699</v>
      </c>
    </row>
    <row r="43" customFormat="false" ht="48" hidden="false" customHeight="true" outlineLevel="0" collapsed="false">
      <c r="A43" s="5" t="s">
        <v>700</v>
      </c>
      <c r="B43" s="14" t="s">
        <v>508</v>
      </c>
      <c r="C43" s="14" t="s">
        <v>192</v>
      </c>
      <c r="D43" s="14"/>
      <c r="E43" s="14"/>
      <c r="F43" s="14"/>
      <c r="G43" s="14"/>
      <c r="H43" s="14"/>
      <c r="I43" s="6" t="s">
        <v>701</v>
      </c>
    </row>
    <row r="44" customFormat="false" ht="15" hidden="false" customHeight="true" outlineLevel="0" collapsed="false">
      <c r="A44" s="7" t="s">
        <v>702</v>
      </c>
      <c r="B44" s="7"/>
      <c r="C44" s="7"/>
      <c r="D44" s="7"/>
      <c r="E44" s="7"/>
      <c r="F44" s="7"/>
      <c r="G44" s="7"/>
      <c r="H44" s="7"/>
      <c r="I44" s="7"/>
    </row>
    <row r="46" customFormat="false" ht="19.5" hidden="false" customHeight="true" outlineLevel="0" collapsed="false">
      <c r="A46" s="3" t="s">
        <v>703</v>
      </c>
      <c r="B46" s="3"/>
      <c r="C46" s="3"/>
      <c r="D46" s="3"/>
      <c r="E46" s="3"/>
      <c r="F46" s="3"/>
      <c r="G46" s="3"/>
      <c r="H46" s="3"/>
      <c r="I46" s="3"/>
    </row>
    <row r="47" customFormat="false" ht="30" hidden="false" customHeight="true" outlineLevel="0" collapsed="false">
      <c r="A47" s="4" t="s">
        <v>322</v>
      </c>
      <c r="B47" s="4" t="s">
        <v>704</v>
      </c>
      <c r="C47" s="4"/>
      <c r="D47" s="4"/>
      <c r="E47" s="4"/>
      <c r="F47" s="4"/>
      <c r="G47" s="4"/>
      <c r="H47" s="4"/>
      <c r="I47" s="4"/>
    </row>
    <row r="48" customFormat="false" ht="14.25" hidden="false" customHeight="false" outlineLevel="0" collapsed="false">
      <c r="A48" s="5" t="s">
        <v>705</v>
      </c>
      <c r="B48" s="14" t="s">
        <v>706</v>
      </c>
      <c r="C48" s="14"/>
      <c r="D48" s="14"/>
      <c r="E48" s="14"/>
      <c r="F48" s="14"/>
      <c r="G48" s="14"/>
      <c r="H48" s="14"/>
      <c r="I48" s="6"/>
    </row>
    <row r="49" customFormat="false" ht="14.25" hidden="false" customHeight="false" outlineLevel="0" collapsed="false">
      <c r="A49" s="5" t="s">
        <v>707</v>
      </c>
      <c r="B49" s="14" t="s">
        <v>708</v>
      </c>
      <c r="C49" s="14"/>
      <c r="D49" s="14"/>
      <c r="E49" s="14"/>
      <c r="F49" s="14"/>
      <c r="G49" s="14"/>
      <c r="H49" s="14"/>
      <c r="I49" s="6"/>
    </row>
    <row r="50" customFormat="false" ht="14.25" hidden="false" customHeight="false" outlineLevel="0" collapsed="false">
      <c r="A50" s="5" t="s">
        <v>709</v>
      </c>
      <c r="B50" s="14" t="s">
        <v>710</v>
      </c>
      <c r="C50" s="14"/>
      <c r="D50" s="14"/>
      <c r="E50" s="14"/>
      <c r="F50" s="14"/>
      <c r="G50" s="14"/>
      <c r="H50" s="14"/>
      <c r="I50" s="6"/>
    </row>
    <row r="52" customFormat="false" ht="19.5" hidden="false" customHeight="true" outlineLevel="0" collapsed="false">
      <c r="A52" s="3" t="s">
        <v>711</v>
      </c>
      <c r="B52" s="3"/>
      <c r="C52" s="3"/>
      <c r="D52" s="3"/>
      <c r="E52" s="3"/>
      <c r="F52" s="3"/>
      <c r="G52" s="3"/>
      <c r="H52" s="3"/>
      <c r="I52" s="3"/>
    </row>
    <row r="53" customFormat="false" ht="30" hidden="false" customHeight="true" outlineLevel="0" collapsed="false">
      <c r="A53" s="4" t="s">
        <v>322</v>
      </c>
      <c r="B53" s="4" t="s">
        <v>609</v>
      </c>
      <c r="C53" s="4"/>
      <c r="D53" s="4"/>
      <c r="E53" s="4"/>
      <c r="F53" s="4"/>
      <c r="G53" s="4"/>
      <c r="H53" s="4"/>
      <c r="I53" s="4"/>
    </row>
    <row r="54" customFormat="false" ht="14.25" hidden="false" customHeight="false" outlineLevel="0" collapsed="false">
      <c r="A54" s="5" t="s">
        <v>610</v>
      </c>
      <c r="B54" s="14" t="s">
        <v>712</v>
      </c>
      <c r="C54" s="14"/>
      <c r="D54" s="14"/>
      <c r="E54" s="14"/>
      <c r="F54" s="14"/>
      <c r="G54" s="14"/>
      <c r="H54" s="14"/>
      <c r="I54" s="6"/>
    </row>
    <row r="55" customFormat="false" ht="14.25" hidden="false" customHeight="false" outlineLevel="0" collapsed="false">
      <c r="A55" s="5" t="s">
        <v>612</v>
      </c>
      <c r="B55" s="14" t="s">
        <v>713</v>
      </c>
      <c r="C55" s="14"/>
      <c r="D55" s="14"/>
      <c r="E55" s="14"/>
      <c r="F55" s="14"/>
      <c r="G55" s="14"/>
      <c r="H55" s="14"/>
      <c r="I55" s="6"/>
    </row>
    <row r="56" customFormat="false" ht="14.25" hidden="false" customHeight="false" outlineLevel="0" collapsed="false">
      <c r="A56" s="5" t="s">
        <v>614</v>
      </c>
      <c r="B56" s="14" t="s">
        <v>714</v>
      </c>
      <c r="C56" s="14"/>
      <c r="D56" s="14"/>
      <c r="E56" s="14"/>
      <c r="F56" s="14"/>
      <c r="G56" s="14"/>
      <c r="H56" s="14"/>
      <c r="I56" s="6"/>
    </row>
    <row r="57" customFormat="false" ht="14.25" hidden="false" customHeight="false" outlineLevel="0" collapsed="false">
      <c r="A57" s="5" t="s">
        <v>329</v>
      </c>
      <c r="B57" s="14" t="s">
        <v>28</v>
      </c>
      <c r="C57" s="14"/>
      <c r="D57" s="14"/>
      <c r="E57" s="14"/>
      <c r="F57" s="14"/>
      <c r="G57" s="14"/>
      <c r="H57" s="14"/>
      <c r="I57" s="6"/>
    </row>
    <row r="58" customFormat="false" ht="14.25" hidden="false" customHeight="false" outlineLevel="0" collapsed="false">
      <c r="A58" s="5" t="s">
        <v>715</v>
      </c>
      <c r="B58" s="14" t="s">
        <v>716</v>
      </c>
      <c r="C58" s="14"/>
      <c r="D58" s="14"/>
      <c r="E58" s="14"/>
      <c r="F58" s="14"/>
      <c r="G58" s="14"/>
      <c r="H58" s="14"/>
      <c r="I58" s="6"/>
    </row>
    <row r="59" customFormat="false" ht="14.25" hidden="false" customHeight="false" outlineLevel="0" collapsed="false">
      <c r="A59" s="5" t="s">
        <v>625</v>
      </c>
      <c r="B59" s="14" t="s">
        <v>717</v>
      </c>
      <c r="C59" s="14"/>
      <c r="D59" s="14"/>
      <c r="E59" s="14"/>
      <c r="F59" s="14"/>
      <c r="G59" s="14"/>
      <c r="H59" s="14"/>
      <c r="I59" s="6"/>
    </row>
    <row r="60" customFormat="false" ht="14.25" hidden="false" customHeight="false" outlineLevel="0" collapsed="false">
      <c r="A60" s="5" t="s">
        <v>627</v>
      </c>
      <c r="B60" s="14" t="s">
        <v>718</v>
      </c>
      <c r="C60" s="14"/>
      <c r="D60" s="14"/>
      <c r="E60" s="14"/>
      <c r="F60" s="14"/>
      <c r="G60" s="14"/>
      <c r="H60" s="14"/>
      <c r="I60" s="6"/>
    </row>
    <row r="61" customFormat="false" ht="14.25" hidden="false" customHeight="false" outlineLevel="0" collapsed="false">
      <c r="A61" s="5" t="s">
        <v>628</v>
      </c>
      <c r="B61" s="14" t="s">
        <v>719</v>
      </c>
      <c r="C61" s="14"/>
      <c r="D61" s="14"/>
      <c r="E61" s="14"/>
      <c r="F61" s="14"/>
      <c r="G61" s="14"/>
      <c r="H61" s="14"/>
      <c r="I61" s="6"/>
    </row>
    <row r="62" customFormat="false" ht="14.25" hidden="false" customHeight="false" outlineLevel="0" collapsed="false">
      <c r="A62" s="5" t="s">
        <v>630</v>
      </c>
      <c r="B62" s="14" t="s">
        <v>720</v>
      </c>
      <c r="C62" s="14"/>
      <c r="D62" s="14"/>
      <c r="E62" s="14"/>
      <c r="F62" s="14"/>
      <c r="G62" s="14"/>
      <c r="H62" s="14"/>
      <c r="I62" s="6"/>
    </row>
    <row r="63" customFormat="false" ht="14.25" hidden="false" customHeight="false" outlineLevel="0" collapsed="false">
      <c r="A63" s="5" t="s">
        <v>721</v>
      </c>
      <c r="B63" s="14" t="s">
        <v>722</v>
      </c>
      <c r="C63" s="14"/>
      <c r="D63" s="14"/>
      <c r="E63" s="14"/>
      <c r="F63" s="14"/>
      <c r="G63" s="14"/>
      <c r="H63" s="14"/>
      <c r="I63" s="6"/>
    </row>
    <row r="65" customFormat="false" ht="25.5" hidden="false" customHeight="true" outlineLevel="0" collapsed="false">
      <c r="A65" s="7" t="s">
        <v>723</v>
      </c>
      <c r="B65" s="7"/>
      <c r="C65" s="7"/>
      <c r="D65" s="7"/>
      <c r="E65" s="7"/>
      <c r="F65" s="7"/>
      <c r="G65" s="7"/>
      <c r="H65" s="7"/>
      <c r="I65" s="7"/>
    </row>
  </sheetData>
  <mergeCells count="47">
    <mergeCell ref="A1:I1"/>
    <mergeCell ref="A2:I2"/>
    <mergeCell ref="A4:I4"/>
    <mergeCell ref="B6:H6"/>
    <mergeCell ref="B7:H7"/>
    <mergeCell ref="B8:H8"/>
    <mergeCell ref="B9:H9"/>
    <mergeCell ref="B10:H10"/>
    <mergeCell ref="A12:I12"/>
    <mergeCell ref="F14:H14"/>
    <mergeCell ref="F15:H15"/>
    <mergeCell ref="A17:I17"/>
    <mergeCell ref="A19:I19"/>
    <mergeCell ref="C21:H21"/>
    <mergeCell ref="C22:H22"/>
    <mergeCell ref="A24:I24"/>
    <mergeCell ref="B26:H26"/>
    <mergeCell ref="B27:H27"/>
    <mergeCell ref="B28:H28"/>
    <mergeCell ref="B29:H29"/>
    <mergeCell ref="A31:I31"/>
    <mergeCell ref="B33:H33"/>
    <mergeCell ref="B34:H34"/>
    <mergeCell ref="B35:H35"/>
    <mergeCell ref="B36:H36"/>
    <mergeCell ref="A38:I38"/>
    <mergeCell ref="D40:H40"/>
    <mergeCell ref="D41:H41"/>
    <mergeCell ref="D42:H42"/>
    <mergeCell ref="D43:H43"/>
    <mergeCell ref="A44:I44"/>
    <mergeCell ref="A46:I46"/>
    <mergeCell ref="B48:H48"/>
    <mergeCell ref="B49:H49"/>
    <mergeCell ref="B50:H50"/>
    <mergeCell ref="A52:I52"/>
    <mergeCell ref="B54:H54"/>
    <mergeCell ref="B55:H55"/>
    <mergeCell ref="B56:H56"/>
    <mergeCell ref="B57:H57"/>
    <mergeCell ref="B58:H58"/>
    <mergeCell ref="B59:H59"/>
    <mergeCell ref="B60:H60"/>
    <mergeCell ref="B61:H61"/>
    <mergeCell ref="B62:H62"/>
    <mergeCell ref="B63:H63"/>
    <mergeCell ref="A65:I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62" activePane="bottomLeft" state="frozen"/>
      <selection pane="topLeft" activeCell="A1" activeCellId="0" sqref="A1"/>
      <selection pane="bottomLeft" activeCell="A6" activeCellId="0" sqref="A6"/>
    </sheetView>
  </sheetViews>
  <sheetFormatPr defaultColWidth="8.59765625" defaultRowHeight="15" customHeight="false"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4" min="3" style="0" width="12"/>
    <col collapsed="false" customWidth="true" hidden="false" outlineLevel="0" max="5" min="5" style="0" width="16"/>
    <col collapsed="false" customWidth="true" hidden="false" outlineLevel="0" max="8" min="6" style="0" width="10"/>
    <col collapsed="false" customWidth="true" hidden="false" outlineLevel="0" max="9" min="9" style="0" width="40"/>
  </cols>
  <sheetData>
    <row r="1" customFormat="false" ht="25.5" hidden="false" customHeight="true" outlineLevel="0" collapsed="false">
      <c r="A1" s="26" t="s">
        <v>724</v>
      </c>
      <c r="B1" s="26"/>
      <c r="C1" s="26"/>
      <c r="D1" s="26"/>
      <c r="E1" s="26"/>
      <c r="F1" s="26"/>
      <c r="G1" s="26"/>
      <c r="H1" s="26"/>
      <c r="I1" s="26"/>
    </row>
    <row r="2" customFormat="false" ht="39.75" hidden="false" customHeight="true" outlineLevel="0" collapsed="false">
      <c r="A2" s="27" t="s">
        <v>725</v>
      </c>
      <c r="B2" s="27"/>
      <c r="C2" s="27"/>
      <c r="D2" s="27"/>
      <c r="E2" s="27"/>
      <c r="F2" s="27"/>
      <c r="G2" s="27"/>
      <c r="H2" s="27"/>
      <c r="I2" s="27"/>
    </row>
    <row r="4" customFormat="false" ht="19.5" hidden="false" customHeight="true" outlineLevel="0" collapsed="false">
      <c r="A4" s="28" t="s">
        <v>639</v>
      </c>
      <c r="B4" s="28"/>
      <c r="C4" s="28"/>
      <c r="D4" s="28"/>
      <c r="E4" s="28"/>
      <c r="F4" s="28"/>
      <c r="G4" s="28"/>
      <c r="H4" s="28"/>
      <c r="I4" s="28"/>
    </row>
    <row r="5" customFormat="false" ht="27.75" hidden="false" customHeight="true" outlineLevel="0" collapsed="false">
      <c r="A5" s="29" t="s">
        <v>90</v>
      </c>
      <c r="B5" s="29" t="s">
        <v>91</v>
      </c>
      <c r="C5" s="29"/>
      <c r="D5" s="29"/>
      <c r="E5" s="29"/>
      <c r="F5" s="29"/>
      <c r="G5" s="29"/>
      <c r="H5" s="29"/>
      <c r="I5" s="29" t="s">
        <v>92</v>
      </c>
    </row>
    <row r="6" customFormat="false" ht="49.95" hidden="false" customHeight="true" outlineLevel="0" collapsed="false">
      <c r="A6" s="30" t="s">
        <v>640</v>
      </c>
      <c r="B6" s="31" t="s">
        <v>726</v>
      </c>
      <c r="C6" s="31"/>
      <c r="D6" s="31"/>
      <c r="E6" s="31"/>
      <c r="F6" s="31"/>
      <c r="G6" s="31"/>
      <c r="H6" s="31"/>
      <c r="I6" s="31" t="s">
        <v>727</v>
      </c>
    </row>
    <row r="7" customFormat="false" ht="65.65" hidden="false" customHeight="true" outlineLevel="0" collapsed="false">
      <c r="A7" s="30" t="s">
        <v>642</v>
      </c>
      <c r="B7" s="31" t="s">
        <v>728</v>
      </c>
      <c r="C7" s="31"/>
      <c r="D7" s="31"/>
      <c r="E7" s="31"/>
      <c r="F7" s="31"/>
      <c r="G7" s="31"/>
      <c r="H7" s="31"/>
      <c r="I7" s="31" t="s">
        <v>729</v>
      </c>
    </row>
    <row r="8" customFormat="false" ht="30" hidden="false" customHeight="true" outlineLevel="0" collapsed="false"/>
    <row r="9" customFormat="false" ht="30" hidden="false" customHeight="true" outlineLevel="0" collapsed="false">
      <c r="A9" s="30" t="s">
        <v>96</v>
      </c>
      <c r="B9" s="31" t="s">
        <v>645</v>
      </c>
      <c r="C9" s="31"/>
      <c r="D9" s="31"/>
      <c r="E9" s="31"/>
      <c r="F9" s="31"/>
      <c r="G9" s="31"/>
      <c r="H9" s="31"/>
      <c r="I9" s="31" t="s">
        <v>730</v>
      </c>
    </row>
    <row r="10" customFormat="false" ht="30" hidden="false" customHeight="true" outlineLevel="0" collapsed="false">
      <c r="A10" s="30" t="s">
        <v>647</v>
      </c>
      <c r="B10" s="31" t="s">
        <v>731</v>
      </c>
      <c r="C10" s="31"/>
      <c r="D10" s="31"/>
      <c r="E10" s="31"/>
      <c r="F10" s="31"/>
      <c r="G10" s="31"/>
      <c r="H10" s="31"/>
      <c r="I10" s="31" t="s">
        <v>732</v>
      </c>
    </row>
    <row r="11" customFormat="false" ht="30" hidden="false" customHeight="true" outlineLevel="0" collapsed="false">
      <c r="A11" s="30" t="s">
        <v>650</v>
      </c>
      <c r="B11" s="31" t="s">
        <v>733</v>
      </c>
      <c r="C11" s="31"/>
      <c r="D11" s="31"/>
      <c r="E11" s="31"/>
      <c r="F11" s="31"/>
      <c r="G11" s="31"/>
      <c r="H11" s="31"/>
      <c r="I11" s="31" t="s">
        <v>734</v>
      </c>
    </row>
    <row r="12" customFormat="false" ht="30" hidden="false" customHeight="true" outlineLevel="0" collapsed="false">
      <c r="A12" s="30" t="s">
        <v>735</v>
      </c>
      <c r="B12" s="31" t="s">
        <v>736</v>
      </c>
      <c r="C12" s="31"/>
      <c r="D12" s="31"/>
      <c r="E12" s="31"/>
      <c r="F12" s="31"/>
      <c r="G12" s="31"/>
      <c r="H12" s="31"/>
      <c r="I12" s="31" t="s">
        <v>737</v>
      </c>
    </row>
    <row r="13" customFormat="false" ht="30" hidden="false" customHeight="true" outlineLevel="0" collapsed="false">
      <c r="A13" s="30" t="s">
        <v>738</v>
      </c>
      <c r="B13" s="31" t="s">
        <v>739</v>
      </c>
      <c r="C13" s="31"/>
      <c r="D13" s="31"/>
      <c r="E13" s="31"/>
      <c r="F13" s="31"/>
      <c r="G13" s="31"/>
      <c r="H13" s="31"/>
      <c r="I13" s="31" t="s">
        <v>740</v>
      </c>
    </row>
    <row r="15" customFormat="false" ht="19.5" hidden="false" customHeight="true" outlineLevel="0" collapsed="false">
      <c r="A15" s="28" t="s">
        <v>653</v>
      </c>
      <c r="B15" s="28"/>
      <c r="C15" s="28"/>
      <c r="D15" s="28"/>
      <c r="E15" s="28"/>
      <c r="F15" s="28"/>
      <c r="G15" s="28"/>
      <c r="H15" s="28"/>
      <c r="I15" s="28"/>
    </row>
    <row r="16" customFormat="false" ht="27.75" hidden="false" customHeight="true" outlineLevel="0" collapsed="false">
      <c r="A16" s="29" t="s">
        <v>373</v>
      </c>
      <c r="B16" s="29" t="s">
        <v>155</v>
      </c>
      <c r="C16" s="29" t="s">
        <v>188</v>
      </c>
      <c r="D16" s="29" t="s">
        <v>375</v>
      </c>
      <c r="E16" s="29" t="s">
        <v>654</v>
      </c>
      <c r="I16" s="29" t="s">
        <v>92</v>
      </c>
    </row>
    <row r="17" customFormat="false" ht="30" hidden="false" customHeight="true" outlineLevel="0" collapsed="false">
      <c r="A17" s="30" t="s">
        <v>655</v>
      </c>
      <c r="B17" s="31" t="s">
        <v>741</v>
      </c>
      <c r="C17" s="31" t="n">
        <v>8</v>
      </c>
      <c r="D17" s="31" t="n">
        <v>16</v>
      </c>
      <c r="E17" s="31" t="n">
        <v>100</v>
      </c>
      <c r="I17" s="31" t="s">
        <v>742</v>
      </c>
    </row>
    <row r="18" customFormat="false" ht="30" hidden="false" customHeight="true" outlineLevel="0" collapsed="false">
      <c r="A18" s="30" t="s">
        <v>657</v>
      </c>
      <c r="B18" s="31" t="s">
        <v>743</v>
      </c>
      <c r="C18" s="31" t="n">
        <v>4</v>
      </c>
      <c r="D18" s="31" t="n">
        <v>8</v>
      </c>
      <c r="E18" s="31" t="n">
        <v>60</v>
      </c>
      <c r="I18" s="31" t="s">
        <v>744</v>
      </c>
    </row>
    <row r="19" customFormat="false" ht="30" hidden="false" customHeight="true" outlineLevel="0" collapsed="false">
      <c r="A19" s="30" t="s">
        <v>745</v>
      </c>
      <c r="B19" s="31" t="s">
        <v>746</v>
      </c>
      <c r="C19" s="31" t="n">
        <v>4</v>
      </c>
      <c r="D19" s="31" t="n">
        <v>8</v>
      </c>
      <c r="E19" s="31" t="n">
        <v>40</v>
      </c>
      <c r="I19" s="31" t="s">
        <v>747</v>
      </c>
    </row>
    <row r="20" customFormat="false" ht="24" hidden="false" customHeight="true" outlineLevel="0" collapsed="false">
      <c r="A20" s="32" t="s">
        <v>748</v>
      </c>
      <c r="B20" s="33"/>
      <c r="C20" s="34" t="n">
        <f aca="false">SUM(C17:C19)</f>
        <v>16</v>
      </c>
      <c r="D20" s="34" t="n">
        <f aca="false">SUM(D17:D19)</f>
        <v>32</v>
      </c>
      <c r="E20" s="34" t="n">
        <f aca="false">SUM(E17:E19)</f>
        <v>200</v>
      </c>
    </row>
    <row r="21" customFormat="false" ht="30" hidden="false" customHeight="true" outlineLevel="0" collapsed="false">
      <c r="A21" s="35" t="s">
        <v>749</v>
      </c>
      <c r="B21" s="35"/>
      <c r="C21" s="35"/>
      <c r="D21" s="35"/>
      <c r="E21" s="35"/>
      <c r="F21" s="35"/>
      <c r="G21" s="35"/>
      <c r="H21" s="35"/>
      <c r="I21" s="35"/>
    </row>
    <row r="23" customFormat="false" ht="19.5" hidden="false" customHeight="true" outlineLevel="0" collapsed="false">
      <c r="A23" s="28" t="s">
        <v>750</v>
      </c>
      <c r="B23" s="28"/>
      <c r="C23" s="28"/>
      <c r="D23" s="28"/>
      <c r="E23" s="28"/>
      <c r="F23" s="28"/>
      <c r="G23" s="28"/>
      <c r="H23" s="28"/>
      <c r="I23" s="28"/>
    </row>
    <row r="24" customFormat="false" ht="27.75" hidden="false" customHeight="true" outlineLevel="0" collapsed="false">
      <c r="A24" s="29" t="s">
        <v>155</v>
      </c>
      <c r="B24" s="29" t="s">
        <v>670</v>
      </c>
      <c r="C24" s="29" t="s">
        <v>188</v>
      </c>
      <c r="D24" s="29" t="s">
        <v>375</v>
      </c>
      <c r="E24" s="29" t="s">
        <v>654</v>
      </c>
      <c r="I24" s="29" t="s">
        <v>92</v>
      </c>
    </row>
    <row r="25" customFormat="false" ht="36" hidden="false" customHeight="true" outlineLevel="0" collapsed="false">
      <c r="A25" s="30" t="s">
        <v>751</v>
      </c>
      <c r="B25" s="31" t="s">
        <v>752</v>
      </c>
      <c r="C25" s="31" t="n">
        <v>8</v>
      </c>
      <c r="D25" s="31" t="n">
        <v>32</v>
      </c>
      <c r="E25" s="31" t="n">
        <v>400</v>
      </c>
      <c r="I25" s="31" t="s">
        <v>753</v>
      </c>
    </row>
    <row r="27" customFormat="false" ht="27.75" hidden="false" customHeight="true" outlineLevel="0" collapsed="false">
      <c r="A27" s="29" t="s">
        <v>90</v>
      </c>
      <c r="B27" s="29" t="s">
        <v>609</v>
      </c>
      <c r="C27" s="29"/>
      <c r="D27" s="29"/>
      <c r="E27" s="29"/>
      <c r="F27" s="29"/>
      <c r="G27" s="29"/>
      <c r="H27" s="29"/>
      <c r="I27" s="29"/>
    </row>
    <row r="28" customFormat="false" ht="30" hidden="false" customHeight="true" outlineLevel="0" collapsed="false">
      <c r="A28" s="30" t="s">
        <v>672</v>
      </c>
      <c r="B28" s="31" t="s">
        <v>754</v>
      </c>
      <c r="C28" s="31"/>
      <c r="D28" s="31"/>
      <c r="E28" s="31"/>
      <c r="F28" s="31"/>
      <c r="G28" s="31"/>
      <c r="H28" s="31"/>
      <c r="I28" s="31"/>
    </row>
    <row r="29" customFormat="false" ht="30" hidden="false" customHeight="true" outlineLevel="0" collapsed="false">
      <c r="A29" s="30" t="s">
        <v>755</v>
      </c>
      <c r="B29" s="31" t="s">
        <v>756</v>
      </c>
      <c r="C29" s="31"/>
      <c r="D29" s="31"/>
      <c r="E29" s="31"/>
      <c r="F29" s="31"/>
      <c r="G29" s="31"/>
      <c r="H29" s="31"/>
      <c r="I29" s="31"/>
    </row>
    <row r="30" customFormat="false" ht="30" hidden="false" customHeight="true" outlineLevel="0" collapsed="false">
      <c r="A30" s="30" t="s">
        <v>757</v>
      </c>
      <c r="B30" s="31" t="s">
        <v>758</v>
      </c>
      <c r="C30" s="31"/>
      <c r="D30" s="31"/>
      <c r="E30" s="31"/>
      <c r="F30" s="31"/>
      <c r="G30" s="31"/>
      <c r="H30" s="31"/>
      <c r="I30" s="31"/>
    </row>
    <row r="31" customFormat="false" ht="30" hidden="false" customHeight="true" outlineLevel="0" collapsed="false">
      <c r="A31" s="30" t="s">
        <v>674</v>
      </c>
      <c r="B31" s="31" t="s">
        <v>759</v>
      </c>
      <c r="C31" s="31"/>
      <c r="D31" s="31"/>
      <c r="E31" s="31"/>
      <c r="F31" s="31"/>
      <c r="G31" s="31"/>
      <c r="H31" s="31"/>
      <c r="I31" s="31"/>
    </row>
    <row r="32" customFormat="false" ht="30" hidden="false" customHeight="true" outlineLevel="0" collapsed="false">
      <c r="A32" s="30" t="s">
        <v>676</v>
      </c>
      <c r="B32" s="31" t="s">
        <v>760</v>
      </c>
      <c r="C32" s="31"/>
      <c r="D32" s="31"/>
      <c r="E32" s="31"/>
      <c r="F32" s="31"/>
      <c r="G32" s="31"/>
      <c r="H32" s="31"/>
      <c r="I32" s="31"/>
    </row>
    <row r="33" customFormat="false" ht="30" hidden="false" customHeight="true" outlineLevel="0" collapsed="false">
      <c r="A33" s="30" t="s">
        <v>761</v>
      </c>
      <c r="B33" s="31" t="s">
        <v>762</v>
      </c>
      <c r="C33" s="31"/>
      <c r="D33" s="31"/>
      <c r="E33" s="31"/>
      <c r="F33" s="31"/>
      <c r="G33" s="31"/>
      <c r="H33" s="31"/>
      <c r="I33" s="31"/>
    </row>
    <row r="35" customFormat="false" ht="19.5" hidden="false" customHeight="true" outlineLevel="0" collapsed="false">
      <c r="A35" s="28" t="s">
        <v>763</v>
      </c>
      <c r="B35" s="28"/>
      <c r="C35" s="28"/>
      <c r="D35" s="28"/>
      <c r="E35" s="28"/>
      <c r="F35" s="28"/>
      <c r="G35" s="28"/>
      <c r="H35" s="28"/>
      <c r="I35" s="28"/>
    </row>
    <row r="36" customFormat="false" ht="27.75" hidden="false" customHeight="true" outlineLevel="0" collapsed="false">
      <c r="A36" s="29" t="s">
        <v>203</v>
      </c>
      <c r="B36" s="29" t="s">
        <v>204</v>
      </c>
      <c r="I36" s="29" t="s">
        <v>92</v>
      </c>
    </row>
    <row r="37" customFormat="false" ht="30" hidden="false" customHeight="true" outlineLevel="0" collapsed="false">
      <c r="A37" s="30" t="s">
        <v>764</v>
      </c>
      <c r="B37" s="31" t="n">
        <v>500</v>
      </c>
      <c r="I37" s="31" t="s">
        <v>765</v>
      </c>
    </row>
    <row r="38" customFormat="false" ht="30" hidden="false" customHeight="true" outlineLevel="0" collapsed="false">
      <c r="A38" s="30" t="s">
        <v>766</v>
      </c>
      <c r="B38" s="31" t="n">
        <v>100</v>
      </c>
      <c r="I38" s="31" t="s">
        <v>767</v>
      </c>
    </row>
    <row r="39" customFormat="false" ht="24" hidden="false" customHeight="true" outlineLevel="0" collapsed="false">
      <c r="A39" s="32" t="s">
        <v>768</v>
      </c>
      <c r="B39" s="34" t="n">
        <f aca="false">SUM(B37:B38)</f>
        <v>600</v>
      </c>
    </row>
    <row r="41" customFormat="false" ht="19.5" hidden="false" customHeight="true" outlineLevel="0" collapsed="false">
      <c r="A41" s="28" t="s">
        <v>769</v>
      </c>
      <c r="B41" s="28"/>
      <c r="C41" s="28"/>
      <c r="D41" s="28"/>
      <c r="E41" s="28"/>
      <c r="F41" s="28"/>
      <c r="G41" s="28"/>
      <c r="H41" s="28"/>
      <c r="I41" s="28"/>
    </row>
    <row r="42" customFormat="false" ht="27.75" hidden="false" customHeight="true" outlineLevel="0" collapsed="false">
      <c r="A42" s="29" t="s">
        <v>770</v>
      </c>
      <c r="B42" s="29" t="s">
        <v>661</v>
      </c>
      <c r="C42" s="29" t="s">
        <v>662</v>
      </c>
      <c r="D42" s="29"/>
      <c r="E42" s="29"/>
      <c r="F42" s="29"/>
      <c r="G42" s="29"/>
      <c r="H42" s="29"/>
      <c r="I42" s="29"/>
    </row>
    <row r="43" customFormat="false" ht="30" hidden="false" customHeight="true" outlineLevel="0" collapsed="false">
      <c r="A43" s="30" t="s">
        <v>663</v>
      </c>
      <c r="C43" s="31" t="s">
        <v>667</v>
      </c>
      <c r="D43" s="31"/>
      <c r="E43" s="31"/>
      <c r="F43" s="31"/>
      <c r="G43" s="31"/>
      <c r="H43" s="31"/>
      <c r="I43" s="31"/>
    </row>
    <row r="44" customFormat="false" ht="30" hidden="false" customHeight="true" outlineLevel="0" collapsed="false">
      <c r="A44" s="30" t="s">
        <v>771</v>
      </c>
      <c r="C44" s="31" t="s">
        <v>772</v>
      </c>
      <c r="D44" s="31"/>
      <c r="E44" s="31"/>
      <c r="F44" s="31"/>
      <c r="G44" s="31"/>
      <c r="H44" s="31"/>
      <c r="I44" s="31"/>
    </row>
    <row r="45" customFormat="false" ht="30" hidden="false" customHeight="true" outlineLevel="0" collapsed="false">
      <c r="A45" s="30" t="s">
        <v>773</v>
      </c>
      <c r="C45" s="31" t="s">
        <v>368</v>
      </c>
      <c r="D45" s="31"/>
      <c r="E45" s="31"/>
      <c r="F45" s="31"/>
      <c r="G45" s="31"/>
      <c r="H45" s="31"/>
      <c r="I45" s="31"/>
    </row>
    <row r="46" customFormat="false" ht="30" hidden="false" customHeight="true" outlineLevel="0" collapsed="false">
      <c r="A46" s="30" t="s">
        <v>774</v>
      </c>
      <c r="C46" s="31" t="s">
        <v>775</v>
      </c>
      <c r="D46" s="31"/>
      <c r="E46" s="31"/>
      <c r="F46" s="31"/>
      <c r="G46" s="31"/>
      <c r="H46" s="31"/>
      <c r="I46" s="31"/>
    </row>
    <row r="47" customFormat="false" ht="30" hidden="false" customHeight="true" outlineLevel="0" collapsed="false">
      <c r="A47" s="30" t="s">
        <v>776</v>
      </c>
      <c r="C47" s="31" t="s">
        <v>777</v>
      </c>
      <c r="D47" s="31"/>
      <c r="E47" s="31"/>
      <c r="F47" s="31"/>
      <c r="G47" s="31"/>
      <c r="H47" s="31"/>
      <c r="I47" s="31"/>
    </row>
    <row r="49" customFormat="false" ht="19.5" hidden="false" customHeight="true" outlineLevel="0" collapsed="false">
      <c r="A49" s="28" t="s">
        <v>778</v>
      </c>
      <c r="B49" s="28"/>
      <c r="C49" s="28"/>
      <c r="D49" s="28"/>
      <c r="E49" s="28"/>
      <c r="F49" s="28"/>
      <c r="G49" s="28"/>
      <c r="H49" s="28"/>
      <c r="I49" s="28"/>
    </row>
    <row r="50" customFormat="false" ht="27.75" hidden="false" customHeight="true" outlineLevel="0" collapsed="false">
      <c r="A50" s="29" t="s">
        <v>155</v>
      </c>
      <c r="B50" s="29" t="s">
        <v>609</v>
      </c>
      <c r="C50" s="29"/>
      <c r="D50" s="29"/>
      <c r="E50" s="29"/>
      <c r="F50" s="29"/>
      <c r="G50" s="29"/>
      <c r="H50" s="29"/>
      <c r="I50" s="29" t="s">
        <v>339</v>
      </c>
    </row>
    <row r="51" customFormat="false" ht="30" hidden="false" customHeight="true" outlineLevel="0" collapsed="false">
      <c r="A51" s="30" t="s">
        <v>679</v>
      </c>
      <c r="B51" s="31" t="s">
        <v>680</v>
      </c>
      <c r="C51" s="31"/>
      <c r="D51" s="31"/>
      <c r="E51" s="31"/>
      <c r="F51" s="31"/>
      <c r="G51" s="31"/>
      <c r="H51" s="31"/>
      <c r="I51" s="31" t="s">
        <v>779</v>
      </c>
    </row>
    <row r="52" customFormat="false" ht="30" hidden="false" customHeight="true" outlineLevel="0" collapsed="false">
      <c r="A52" s="30" t="s">
        <v>437</v>
      </c>
      <c r="B52" s="31" t="s">
        <v>780</v>
      </c>
      <c r="C52" s="31"/>
      <c r="D52" s="31"/>
      <c r="E52" s="31"/>
      <c r="F52" s="31"/>
      <c r="G52" s="31"/>
      <c r="H52" s="31"/>
      <c r="I52" s="31" t="s">
        <v>781</v>
      </c>
    </row>
    <row r="53" customFormat="false" ht="30" hidden="false" customHeight="true" outlineLevel="0" collapsed="false">
      <c r="A53" s="30" t="s">
        <v>684</v>
      </c>
      <c r="B53" s="31" t="s">
        <v>782</v>
      </c>
      <c r="C53" s="31"/>
      <c r="D53" s="31"/>
      <c r="E53" s="31"/>
      <c r="F53" s="31"/>
      <c r="G53" s="31"/>
      <c r="H53" s="31"/>
      <c r="I53" s="31" t="s">
        <v>783</v>
      </c>
    </row>
    <row r="54" customFormat="false" ht="30" hidden="false" customHeight="true" outlineLevel="0" collapsed="false">
      <c r="A54" s="30" t="s">
        <v>687</v>
      </c>
      <c r="B54" s="31" t="s">
        <v>465</v>
      </c>
      <c r="C54" s="31"/>
      <c r="D54" s="31"/>
      <c r="E54" s="31"/>
      <c r="F54" s="31"/>
      <c r="G54" s="31"/>
      <c r="H54" s="31"/>
      <c r="I54" s="31" t="s">
        <v>784</v>
      </c>
    </row>
    <row r="55" customFormat="false" ht="30" hidden="false" customHeight="true" outlineLevel="0" collapsed="false">
      <c r="A55" s="30" t="s">
        <v>785</v>
      </c>
      <c r="B55" s="31" t="s">
        <v>786</v>
      </c>
      <c r="C55" s="31"/>
      <c r="D55" s="31"/>
      <c r="E55" s="31"/>
      <c r="F55" s="31"/>
      <c r="G55" s="31"/>
      <c r="H55" s="31"/>
      <c r="I55" s="31" t="s">
        <v>787</v>
      </c>
    </row>
    <row r="56" customFormat="false" ht="30" hidden="false" customHeight="true" outlineLevel="0" collapsed="false">
      <c r="A56" s="30" t="s">
        <v>788</v>
      </c>
      <c r="B56" s="31" t="s">
        <v>789</v>
      </c>
      <c r="C56" s="31"/>
      <c r="D56" s="31"/>
      <c r="E56" s="31"/>
      <c r="F56" s="31"/>
      <c r="G56" s="31"/>
      <c r="H56" s="31"/>
      <c r="I56" s="31" t="s">
        <v>790</v>
      </c>
    </row>
    <row r="57" customFormat="false" ht="30" hidden="false" customHeight="true" outlineLevel="0" collapsed="false">
      <c r="A57" s="30" t="s">
        <v>791</v>
      </c>
      <c r="B57" s="31" t="s">
        <v>792</v>
      </c>
      <c r="C57" s="31"/>
      <c r="D57" s="31"/>
      <c r="E57" s="31"/>
      <c r="F57" s="31"/>
      <c r="G57" s="31"/>
      <c r="H57" s="31"/>
      <c r="I57" s="31" t="s">
        <v>793</v>
      </c>
    </row>
    <row r="58" customFormat="false" ht="30" hidden="false" customHeight="true" outlineLevel="0" collapsed="false">
      <c r="A58" s="30" t="s">
        <v>794</v>
      </c>
      <c r="B58" s="31" t="s">
        <v>795</v>
      </c>
      <c r="C58" s="31"/>
      <c r="D58" s="31"/>
      <c r="E58" s="31"/>
      <c r="F58" s="31"/>
      <c r="G58" s="31"/>
      <c r="H58" s="31"/>
      <c r="I58" s="31" t="s">
        <v>796</v>
      </c>
    </row>
    <row r="59" customFormat="false" ht="30" hidden="false" customHeight="true" outlineLevel="0" collapsed="false">
      <c r="A59" s="30" t="s">
        <v>205</v>
      </c>
      <c r="B59" s="31" t="s">
        <v>797</v>
      </c>
      <c r="C59" s="31"/>
      <c r="D59" s="31"/>
      <c r="E59" s="31"/>
      <c r="F59" s="31"/>
      <c r="G59" s="31"/>
      <c r="H59" s="31"/>
      <c r="I59" s="31" t="s">
        <v>798</v>
      </c>
    </row>
    <row r="61" customFormat="false" ht="19.5" hidden="false" customHeight="true" outlineLevel="0" collapsed="false">
      <c r="A61" s="28" t="s">
        <v>799</v>
      </c>
      <c r="B61" s="28"/>
      <c r="C61" s="28"/>
      <c r="D61" s="28"/>
      <c r="E61" s="28"/>
      <c r="F61" s="28"/>
      <c r="G61" s="28"/>
      <c r="H61" s="28"/>
      <c r="I61" s="28"/>
    </row>
    <row r="62" customFormat="false" ht="27.75" hidden="false" customHeight="true" outlineLevel="0" collapsed="false">
      <c r="A62" s="29" t="s">
        <v>373</v>
      </c>
      <c r="B62" s="29" t="s">
        <v>490</v>
      </c>
      <c r="C62" s="29" t="s">
        <v>136</v>
      </c>
      <c r="I62" s="29" t="s">
        <v>691</v>
      </c>
    </row>
    <row r="63" customFormat="false" ht="30" hidden="false" customHeight="true" outlineLevel="0" collapsed="false">
      <c r="A63" s="30" t="s">
        <v>692</v>
      </c>
      <c r="B63" s="31" t="s">
        <v>497</v>
      </c>
      <c r="C63" s="31" t="s">
        <v>693</v>
      </c>
      <c r="I63" s="31" t="s">
        <v>800</v>
      </c>
    </row>
    <row r="64" customFormat="false" ht="30" hidden="false" customHeight="true" outlineLevel="0" collapsed="false">
      <c r="A64" s="30" t="s">
        <v>692</v>
      </c>
      <c r="B64" s="31" t="s">
        <v>493</v>
      </c>
      <c r="C64" s="31" t="s">
        <v>695</v>
      </c>
      <c r="I64" s="31" t="s">
        <v>801</v>
      </c>
    </row>
    <row r="65" customFormat="false" ht="30" hidden="false" customHeight="true" outlineLevel="0" collapsed="false">
      <c r="A65" s="30" t="s">
        <v>692</v>
      </c>
      <c r="B65" s="31" t="s">
        <v>512</v>
      </c>
      <c r="C65" s="31" t="s">
        <v>513</v>
      </c>
      <c r="I65" s="31" t="s">
        <v>699</v>
      </c>
    </row>
    <row r="66" customFormat="false" ht="30" hidden="false" customHeight="true" outlineLevel="0" collapsed="false">
      <c r="A66" s="30" t="s">
        <v>751</v>
      </c>
      <c r="B66" s="31" t="s">
        <v>508</v>
      </c>
      <c r="C66" s="31" t="s">
        <v>192</v>
      </c>
      <c r="I66" s="31" t="s">
        <v>802</v>
      </c>
    </row>
    <row r="67" customFormat="false" ht="30" hidden="false" customHeight="true" outlineLevel="0" collapsed="false">
      <c r="A67" s="30" t="s">
        <v>803</v>
      </c>
      <c r="B67" s="31" t="s">
        <v>804</v>
      </c>
      <c r="C67" s="31" t="s">
        <v>805</v>
      </c>
      <c r="I67" s="31" t="s">
        <v>806</v>
      </c>
    </row>
    <row r="68" customFormat="false" ht="30" hidden="false" customHeight="true" outlineLevel="0" collapsed="false">
      <c r="A68" s="30" t="s">
        <v>803</v>
      </c>
      <c r="B68" s="31" t="s">
        <v>807</v>
      </c>
      <c r="C68" s="31" t="s">
        <v>808</v>
      </c>
      <c r="I68" s="31" t="s">
        <v>809</v>
      </c>
    </row>
    <row r="69" customFormat="false" ht="30" hidden="false" customHeight="true" outlineLevel="0" collapsed="false">
      <c r="A69" s="30" t="s">
        <v>803</v>
      </c>
      <c r="B69" s="31" t="s">
        <v>510</v>
      </c>
      <c r="C69" s="31" t="s">
        <v>195</v>
      </c>
      <c r="I69" s="31" t="s">
        <v>810</v>
      </c>
    </row>
    <row r="70" customFormat="false" ht="30" hidden="false" customHeight="true" outlineLevel="0" collapsed="false">
      <c r="A70" s="30" t="s">
        <v>811</v>
      </c>
      <c r="B70" s="31" t="s">
        <v>812</v>
      </c>
      <c r="C70" s="31" t="s">
        <v>813</v>
      </c>
      <c r="I70" s="31" t="s">
        <v>814</v>
      </c>
    </row>
    <row r="71" customFormat="false" ht="19.5" hidden="false" customHeight="true" outlineLevel="0" collapsed="false">
      <c r="A71" s="36" t="s">
        <v>815</v>
      </c>
      <c r="B71" s="36"/>
      <c r="C71" s="36"/>
      <c r="D71" s="36"/>
      <c r="E71" s="36"/>
      <c r="F71" s="36"/>
      <c r="G71" s="36"/>
      <c r="H71" s="36"/>
      <c r="I71" s="36"/>
    </row>
    <row r="73" customFormat="false" ht="19.5" hidden="false" customHeight="true" outlineLevel="0" collapsed="false">
      <c r="A73" s="28" t="s">
        <v>816</v>
      </c>
      <c r="B73" s="28"/>
      <c r="C73" s="28"/>
      <c r="D73" s="28"/>
      <c r="E73" s="28"/>
      <c r="F73" s="28"/>
      <c r="G73" s="28"/>
      <c r="H73" s="28"/>
      <c r="I73" s="28"/>
    </row>
    <row r="74" customFormat="false" ht="27.75" hidden="false" customHeight="true" outlineLevel="0" collapsed="false">
      <c r="A74" s="29" t="s">
        <v>322</v>
      </c>
      <c r="B74" s="29" t="s">
        <v>704</v>
      </c>
      <c r="C74" s="29"/>
      <c r="D74" s="29"/>
      <c r="E74" s="29"/>
      <c r="F74" s="29"/>
      <c r="G74" s="29"/>
      <c r="H74" s="29"/>
      <c r="I74" s="29"/>
    </row>
    <row r="75" customFormat="false" ht="30" hidden="false" customHeight="true" outlineLevel="0" collapsed="false">
      <c r="A75" s="30" t="s">
        <v>705</v>
      </c>
      <c r="B75" s="31" t="s">
        <v>817</v>
      </c>
      <c r="C75" s="31"/>
      <c r="D75" s="31"/>
      <c r="E75" s="31"/>
      <c r="F75" s="31"/>
      <c r="G75" s="31"/>
      <c r="H75" s="31"/>
      <c r="I75" s="31"/>
    </row>
    <row r="76" customFormat="false" ht="30" hidden="false" customHeight="true" outlineLevel="0" collapsed="false">
      <c r="A76" s="30" t="s">
        <v>707</v>
      </c>
      <c r="B76" s="31" t="s">
        <v>818</v>
      </c>
      <c r="C76" s="31"/>
      <c r="D76" s="31"/>
      <c r="E76" s="31"/>
      <c r="F76" s="31"/>
      <c r="G76" s="31"/>
      <c r="H76" s="31"/>
      <c r="I76" s="31"/>
    </row>
    <row r="77" customFormat="false" ht="30" hidden="false" customHeight="true" outlineLevel="0" collapsed="false">
      <c r="A77" s="30" t="s">
        <v>819</v>
      </c>
      <c r="B77" s="31" t="s">
        <v>820</v>
      </c>
      <c r="C77" s="31"/>
      <c r="D77" s="31"/>
      <c r="E77" s="31"/>
      <c r="F77" s="31"/>
      <c r="G77" s="31"/>
      <c r="H77" s="31"/>
      <c r="I77" s="31"/>
    </row>
    <row r="78" customFormat="false" ht="30" hidden="false" customHeight="true" outlineLevel="0" collapsed="false">
      <c r="A78" s="30" t="s">
        <v>821</v>
      </c>
      <c r="B78" s="31" t="s">
        <v>822</v>
      </c>
      <c r="C78" s="31"/>
      <c r="D78" s="31"/>
      <c r="E78" s="31"/>
      <c r="F78" s="31"/>
      <c r="G78" s="31"/>
      <c r="H78" s="31"/>
      <c r="I78" s="31"/>
    </row>
    <row r="79" customFormat="false" ht="30" hidden="false" customHeight="true" outlineLevel="0" collapsed="false">
      <c r="A79" s="30" t="s">
        <v>823</v>
      </c>
      <c r="B79" s="31" t="s">
        <v>824</v>
      </c>
      <c r="C79" s="31"/>
      <c r="D79" s="31"/>
      <c r="E79" s="31"/>
      <c r="F79" s="31"/>
      <c r="G79" s="31"/>
      <c r="H79" s="31"/>
      <c r="I79" s="31"/>
    </row>
    <row r="81" customFormat="false" ht="19.5" hidden="false" customHeight="true" outlineLevel="0" collapsed="false">
      <c r="A81" s="28" t="s">
        <v>825</v>
      </c>
      <c r="B81" s="28"/>
      <c r="C81" s="28"/>
      <c r="D81" s="28"/>
      <c r="E81" s="28"/>
      <c r="F81" s="28"/>
      <c r="G81" s="28"/>
      <c r="H81" s="28"/>
      <c r="I81" s="28"/>
    </row>
    <row r="82" customFormat="false" ht="27.75" hidden="false" customHeight="true" outlineLevel="0" collapsed="false">
      <c r="A82" s="29" t="s">
        <v>322</v>
      </c>
      <c r="B82" s="29" t="s">
        <v>609</v>
      </c>
      <c r="C82" s="29"/>
      <c r="D82" s="29"/>
      <c r="E82" s="29"/>
      <c r="F82" s="29"/>
      <c r="G82" s="29"/>
      <c r="H82" s="29"/>
      <c r="I82" s="29"/>
    </row>
    <row r="83" customFormat="false" ht="30" hidden="false" customHeight="true" outlineLevel="0" collapsed="false">
      <c r="A83" s="30" t="s">
        <v>610</v>
      </c>
      <c r="B83" s="31" t="s">
        <v>826</v>
      </c>
      <c r="C83" s="31"/>
      <c r="D83" s="31"/>
      <c r="E83" s="31"/>
      <c r="F83" s="31"/>
      <c r="G83" s="31"/>
      <c r="H83" s="31"/>
      <c r="I83" s="31"/>
    </row>
    <row r="84" customFormat="false" ht="30" hidden="false" customHeight="true" outlineLevel="0" collapsed="false">
      <c r="A84" s="30" t="s">
        <v>827</v>
      </c>
      <c r="B84" s="31" t="s">
        <v>828</v>
      </c>
      <c r="C84" s="31"/>
      <c r="D84" s="31"/>
      <c r="E84" s="31"/>
      <c r="F84" s="31"/>
      <c r="G84" s="31"/>
      <c r="H84" s="31"/>
      <c r="I84" s="31"/>
    </row>
    <row r="85" customFormat="false" ht="30" hidden="false" customHeight="true" outlineLevel="0" collapsed="false">
      <c r="A85" s="30" t="s">
        <v>829</v>
      </c>
      <c r="B85" s="31" t="s">
        <v>830</v>
      </c>
      <c r="C85" s="31"/>
      <c r="D85" s="31"/>
      <c r="E85" s="31"/>
      <c r="F85" s="31"/>
      <c r="G85" s="31"/>
      <c r="H85" s="31"/>
      <c r="I85" s="31"/>
    </row>
    <row r="86" customFormat="false" ht="30" hidden="false" customHeight="true" outlineLevel="0" collapsed="false">
      <c r="A86" s="30" t="s">
        <v>329</v>
      </c>
      <c r="B86" s="31" t="s">
        <v>28</v>
      </c>
      <c r="C86" s="31"/>
      <c r="D86" s="31"/>
      <c r="E86" s="31"/>
      <c r="F86" s="31"/>
      <c r="G86" s="31"/>
      <c r="H86" s="31"/>
      <c r="I86" s="31"/>
    </row>
    <row r="87" customFormat="false" ht="30" hidden="false" customHeight="true" outlineLevel="0" collapsed="false">
      <c r="A87" s="30" t="s">
        <v>831</v>
      </c>
      <c r="B87" s="31" t="s">
        <v>832</v>
      </c>
      <c r="C87" s="31"/>
      <c r="D87" s="31"/>
      <c r="E87" s="31"/>
      <c r="F87" s="31"/>
      <c r="G87" s="31"/>
      <c r="H87" s="31"/>
      <c r="I87" s="31"/>
    </row>
    <row r="88" customFormat="false" ht="30" hidden="false" customHeight="true" outlineLevel="0" collapsed="false">
      <c r="A88" s="30" t="s">
        <v>833</v>
      </c>
      <c r="B88" s="31" t="s">
        <v>834</v>
      </c>
      <c r="C88" s="31"/>
      <c r="D88" s="31"/>
      <c r="E88" s="31"/>
      <c r="F88" s="31"/>
      <c r="G88" s="31"/>
      <c r="H88" s="31"/>
      <c r="I88" s="31"/>
    </row>
    <row r="89" customFormat="false" ht="30" hidden="false" customHeight="true" outlineLevel="0" collapsed="false">
      <c r="A89" s="30" t="s">
        <v>835</v>
      </c>
      <c r="B89" s="31" t="s">
        <v>836</v>
      </c>
      <c r="C89" s="31"/>
      <c r="D89" s="31"/>
      <c r="E89" s="31"/>
      <c r="F89" s="31"/>
      <c r="G89" s="31"/>
      <c r="H89" s="31"/>
      <c r="I89" s="31"/>
    </row>
    <row r="90" customFormat="false" ht="30" hidden="false" customHeight="true" outlineLevel="0" collapsed="false">
      <c r="A90" s="30" t="s">
        <v>837</v>
      </c>
      <c r="B90" s="31" t="s">
        <v>838</v>
      </c>
      <c r="C90" s="31"/>
      <c r="D90" s="31"/>
      <c r="E90" s="31"/>
      <c r="F90" s="31"/>
      <c r="G90" s="31"/>
      <c r="H90" s="31"/>
      <c r="I90" s="31"/>
    </row>
    <row r="91" customFormat="false" ht="30" hidden="false" customHeight="true" outlineLevel="0" collapsed="false">
      <c r="A91" s="30" t="s">
        <v>839</v>
      </c>
      <c r="B91" s="31" t="s">
        <v>840</v>
      </c>
      <c r="C91" s="31"/>
      <c r="D91" s="31"/>
      <c r="E91" s="31"/>
      <c r="F91" s="31"/>
      <c r="G91" s="31"/>
      <c r="H91" s="31"/>
      <c r="I91" s="31"/>
    </row>
    <row r="92" customFormat="false" ht="30" hidden="false" customHeight="true" outlineLevel="0" collapsed="false">
      <c r="A92" s="30" t="s">
        <v>625</v>
      </c>
      <c r="B92" s="31" t="s">
        <v>841</v>
      </c>
      <c r="C92" s="31"/>
      <c r="D92" s="31"/>
      <c r="E92" s="31"/>
      <c r="F92" s="31"/>
      <c r="G92" s="31"/>
      <c r="H92" s="31"/>
      <c r="I92" s="31"/>
    </row>
    <row r="93" customFormat="false" ht="30" hidden="false" customHeight="true" outlineLevel="0" collapsed="false">
      <c r="A93" s="30" t="s">
        <v>627</v>
      </c>
      <c r="B93" s="31" t="s">
        <v>842</v>
      </c>
      <c r="C93" s="31"/>
      <c r="D93" s="31"/>
      <c r="E93" s="31"/>
      <c r="F93" s="31"/>
      <c r="G93" s="31"/>
      <c r="H93" s="31"/>
      <c r="I93" s="31"/>
    </row>
    <row r="94" customFormat="false" ht="30" hidden="false" customHeight="true" outlineLevel="0" collapsed="false">
      <c r="A94" s="30" t="s">
        <v>628</v>
      </c>
      <c r="B94" s="31" t="s">
        <v>843</v>
      </c>
      <c r="C94" s="31"/>
      <c r="D94" s="31"/>
      <c r="E94" s="31"/>
      <c r="F94" s="31"/>
      <c r="G94" s="31"/>
      <c r="H94" s="31"/>
      <c r="I94" s="31"/>
    </row>
    <row r="95" customFormat="false" ht="30" hidden="false" customHeight="true" outlineLevel="0" collapsed="false">
      <c r="A95" s="30" t="s">
        <v>630</v>
      </c>
      <c r="B95" s="31" t="s">
        <v>844</v>
      </c>
      <c r="C95" s="31"/>
      <c r="D95" s="31"/>
      <c r="E95" s="31"/>
      <c r="F95" s="31"/>
      <c r="G95" s="31"/>
      <c r="H95" s="31"/>
      <c r="I95" s="31"/>
    </row>
    <row r="96" customFormat="false" ht="30" hidden="false" customHeight="true" outlineLevel="0" collapsed="false">
      <c r="A96" s="30" t="s">
        <v>721</v>
      </c>
      <c r="B96" s="31" t="s">
        <v>845</v>
      </c>
      <c r="C96" s="31"/>
      <c r="D96" s="31"/>
      <c r="E96" s="31"/>
      <c r="F96" s="31"/>
      <c r="G96" s="31"/>
      <c r="H96" s="31"/>
      <c r="I96" s="31"/>
    </row>
    <row r="98" customFormat="false" ht="39.75" hidden="false" customHeight="true" outlineLevel="0" collapsed="false">
      <c r="A98" s="35" t="s">
        <v>846</v>
      </c>
      <c r="B98" s="35"/>
      <c r="C98" s="35"/>
      <c r="D98" s="35"/>
      <c r="E98" s="35"/>
      <c r="F98" s="35"/>
      <c r="G98" s="35"/>
      <c r="H98" s="35"/>
      <c r="I98" s="35"/>
    </row>
  </sheetData>
  <mergeCells count="66">
    <mergeCell ref="A1:I1"/>
    <mergeCell ref="A2:I2"/>
    <mergeCell ref="A4:I4"/>
    <mergeCell ref="B5:H5"/>
    <mergeCell ref="B6:H6"/>
    <mergeCell ref="B7:H7"/>
    <mergeCell ref="B9:H9"/>
    <mergeCell ref="B10:H10"/>
    <mergeCell ref="B11:H11"/>
    <mergeCell ref="B12:H12"/>
    <mergeCell ref="B13:H13"/>
    <mergeCell ref="A15:I15"/>
    <mergeCell ref="A21:I21"/>
    <mergeCell ref="A23:I23"/>
    <mergeCell ref="B27:I27"/>
    <mergeCell ref="B28:I28"/>
    <mergeCell ref="B29:I29"/>
    <mergeCell ref="B30:I30"/>
    <mergeCell ref="B31:I31"/>
    <mergeCell ref="B32:I32"/>
    <mergeCell ref="B33:I33"/>
    <mergeCell ref="A35:I35"/>
    <mergeCell ref="A41:I41"/>
    <mergeCell ref="C42:I42"/>
    <mergeCell ref="C43:I43"/>
    <mergeCell ref="C44:I44"/>
    <mergeCell ref="C45:I45"/>
    <mergeCell ref="C46:I46"/>
    <mergeCell ref="C47:I47"/>
    <mergeCell ref="A49:I49"/>
    <mergeCell ref="B50:H50"/>
    <mergeCell ref="B51:H51"/>
    <mergeCell ref="B52:H52"/>
    <mergeCell ref="B53:H53"/>
    <mergeCell ref="B54:H54"/>
    <mergeCell ref="B55:H55"/>
    <mergeCell ref="B56:H56"/>
    <mergeCell ref="B57:H57"/>
    <mergeCell ref="B58:H58"/>
    <mergeCell ref="B59:H59"/>
    <mergeCell ref="A61:I61"/>
    <mergeCell ref="A71:I71"/>
    <mergeCell ref="A73:I73"/>
    <mergeCell ref="B74:I74"/>
    <mergeCell ref="B75:I75"/>
    <mergeCell ref="B76:I76"/>
    <mergeCell ref="B77:I77"/>
    <mergeCell ref="B78:I78"/>
    <mergeCell ref="B79:I79"/>
    <mergeCell ref="A81:I81"/>
    <mergeCell ref="B82:I82"/>
    <mergeCell ref="B83:I83"/>
    <mergeCell ref="B84:I84"/>
    <mergeCell ref="B85:I85"/>
    <mergeCell ref="B86:I86"/>
    <mergeCell ref="B87:I87"/>
    <mergeCell ref="B88:I88"/>
    <mergeCell ref="B89:I89"/>
    <mergeCell ref="B90:I90"/>
    <mergeCell ref="B91:I91"/>
    <mergeCell ref="B92:I92"/>
    <mergeCell ref="B93:I93"/>
    <mergeCell ref="B94:I94"/>
    <mergeCell ref="B95:I95"/>
    <mergeCell ref="B96:I96"/>
    <mergeCell ref="A98:I9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LibreOffice/26.2.4.2$Linux_X86_64 LibreOffice_project/df4f15f06f7b375c1d16aa35fba92d50b262cd01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2026-07-03T13:57:18Z</dcterms:created>
  <dc:creator>openpyxl</dc:creator>
  <dc:description/>
  <dc:language>en-GB</dc:language>
  <cp:lastModifiedBy/>
  <dcterms:modified xsi:type="dcterms:W3CDTF">2026-07-06T13:16:39Z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