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https://rilcloud-my.sharepoint.com/personal/sourabh6_gupta_ril_com/Documents/Projects/Format/"/>
    </mc:Choice>
  </mc:AlternateContent>
  <xr:revisionPtr revIDLastSave="0" documentId="14_{7591D1FD-4900-4999-92A6-1416AA9E64E4}" xr6:coauthVersionLast="36" xr6:coauthVersionMax="36" xr10:uidLastSave="{00000000-0000-0000-0000-000000000000}"/>
  <bookViews>
    <workbookView xWindow="-105" yWindow="-105" windowWidth="19425" windowHeight="10305" activeTab="3" xr2:uid="{00000000-000D-0000-FFFF-FFFF00000000}"/>
  </bookViews>
  <sheets>
    <sheet name="Instructions" sheetId="1" r:id="rId1"/>
    <sheet name="KYA" sheetId="2" r:id="rId2"/>
    <sheet name="ArchitectureDiagram" sheetId="3" r:id="rId3"/>
    <sheet name="Infra Requirements" sheetId="4" r:id="rId4"/>
    <sheet name="Drived" sheetId="7" state="veryHidden" r:id="rId5"/>
  </sheets>
  <definedNames>
    <definedName name="Bandwidth_List" localSheetId="3">Drived!$AR$4:$AR$20</definedName>
    <definedName name="Blank_List" localSheetId="3">Drived!$AS$4</definedName>
    <definedName name="Nonprd">'Infra Requirements'!#REF!</definedName>
    <definedName name="Option1">KYA!$CF$21:$CF$36</definedName>
    <definedName name="Option2">KYA!$CG$21:$CG$36</definedName>
    <definedName name="Option3">KYA!$CH$21</definedName>
    <definedName name="Prod">'Infra Requirements'!#REF!</definedName>
    <definedName name="RAM_Lookup" localSheetId="3">IF('Infra Requirements'!XFD1="","",   IFERROR(     IF('Infra Requirements'!XEY1="Redis",       IFERROR(VLOOKUP('Infra Requirements'!XFD1,Drived!$AR$1:$AS$3,2,0),"Not Applicable"),       IF(AND('Infra Requirements'!XEY1="MongoDB",'Infra Requirements'!XFD1=60),"Not Applicable",         VLOOKUP('Infra Requirements'!XFD1,Drived!$AH$1:$AI$6,2,0)       )     ),   "Not Applicable") )</definedName>
    <definedName name="RHEL">Drived!$V$1:$V$2</definedName>
    <definedName name="Ubuntu">Drived!$T$1:$T$3</definedName>
    <definedName name="vCPU_MongoDB" localSheetId="3">" =$BT$299:$BT$303"</definedName>
    <definedName name="vCPU_Redis" localSheetId="3">Drived!$AR$1:$AR$3</definedName>
    <definedName name="vCPU_Standard" localSheetId="3">Drived!$AH$1:$AH$6</definedName>
    <definedName name="Windows">Drived!$U$1:$U$7</definedName>
  </definedNames>
  <calcPr calcId="191029"/>
  <extLst>
    <ext uri="GoogleSheetsCustomDataVersion2">
      <go:sheetsCustomData xmlns:go="http://customooxmlschemas.google.com/" r:id="rId10" roundtripDataChecksum="CVeHHCLXCqeuuB7ok2nudTBaAT5GklqloTmRHfvGIA4="/>
    </ext>
  </extLst>
</workbook>
</file>

<file path=xl/calcChain.xml><?xml version="1.0" encoding="utf-8"?>
<calcChain xmlns="http://schemas.openxmlformats.org/spreadsheetml/2006/main">
  <c r="H31" i="4" l="1"/>
  <c r="H30" i="4"/>
  <c r="H29" i="4"/>
  <c r="H28" i="4"/>
  <c r="H27" i="4"/>
  <c r="H26" i="4"/>
  <c r="H25" i="4"/>
  <c r="H24" i="4"/>
  <c r="H33" i="4" l="1"/>
  <c r="H32" i="4"/>
  <c r="AI6" i="7"/>
  <c r="AI5" i="7"/>
  <c r="AQ4" i="7"/>
  <c r="AI4" i="7"/>
  <c r="AI3" i="7"/>
  <c r="U3" i="7"/>
  <c r="AQ2" i="7"/>
  <c r="AI2" i="7"/>
  <c r="AQ1" i="7"/>
  <c r="AP1" i="7"/>
  <c r="AO1" i="7"/>
  <c r="AN1" i="7"/>
  <c r="AI1" i="7"/>
  <c r="X1" i="7"/>
</calcChain>
</file>

<file path=xl/sharedStrings.xml><?xml version="1.0" encoding="utf-8"?>
<sst xmlns="http://schemas.openxmlformats.org/spreadsheetml/2006/main" count="287" uniqueCount="228">
  <si>
    <t>#</t>
  </si>
  <si>
    <t>Purpose</t>
  </si>
  <si>
    <t>The Purpose of this questionnaire is to gather the following application information to onboard them to National Government Cloud so that it works in a seamless manner</t>
  </si>
  <si>
    <t>Infrastructure Requirements</t>
  </si>
  <si>
    <t>Cloud Services Requirements</t>
  </si>
  <si>
    <t>Architecture Insights</t>
  </si>
  <si>
    <t>Decide the approach towards migration</t>
  </si>
  <si>
    <t>Usage Patterns</t>
  </si>
  <si>
    <t>Instructions</t>
  </si>
  <si>
    <t>Kindly use one template per application/workload.</t>
  </si>
  <si>
    <t>Kindly provide responses in a detailed manner</t>
  </si>
  <si>
    <t>Kindly include architecture diagrams, any technical documents along with this workbook</t>
  </si>
  <si>
    <t>Know The Application</t>
  </si>
  <si>
    <t>The aim of this document is to gather comprehensive information about the application. Doing so will enable cloud solution architects to draft the architecture for the National Government Cloud accurately.</t>
  </si>
  <si>
    <t>Project Overview</t>
  </si>
  <si>
    <t>Ministry Name*</t>
  </si>
  <si>
    <t>Department Name *</t>
  </si>
  <si>
    <t>Department Address *</t>
  </si>
  <si>
    <t>Organization Name *</t>
  </si>
  <si>
    <t>Project Name *</t>
  </si>
  <si>
    <t>Contact Details</t>
  </si>
  <si>
    <t xml:space="preserve">Sr. No. </t>
  </si>
  <si>
    <t>Role</t>
  </si>
  <si>
    <t>Name</t>
  </si>
  <si>
    <t>Designation</t>
  </si>
  <si>
    <t>Contact Number</t>
  </si>
  <si>
    <t>Email Address</t>
  </si>
  <si>
    <t xml:space="preserve">Location </t>
  </si>
  <si>
    <t>Department Technical SPOC *</t>
  </si>
  <si>
    <t>NIC Coordinator *</t>
  </si>
  <si>
    <t>Application Owner/ User *</t>
  </si>
  <si>
    <t>Application Support *</t>
  </si>
  <si>
    <t>Application Insight: Key Details Needed</t>
  </si>
  <si>
    <t>Questionnaires</t>
  </si>
  <si>
    <t>Response</t>
  </si>
  <si>
    <t>Remarks (If Any)</t>
  </si>
  <si>
    <t>Ques-1</t>
  </si>
  <si>
    <t>Is this the new application you intend to deploy?</t>
  </si>
  <si>
    <t>Ques-2</t>
  </si>
  <si>
    <r>
      <rPr>
        <sz val="11"/>
        <color theme="1"/>
        <rFont val="Calibri"/>
      </rPr>
      <t>If not, where is your current application hosted? **</t>
    </r>
    <r>
      <rPr>
        <sz val="10"/>
        <color theme="1"/>
        <rFont val="Calibri"/>
      </rPr>
      <t>(Use "Remark" column if application hosted in</t>
    </r>
    <r>
      <rPr>
        <b/>
        <sz val="10"/>
        <color theme="1"/>
        <rFont val="Calibri"/>
      </rPr>
      <t xml:space="preserve"> "Other"</t>
    </r>
    <r>
      <rPr>
        <sz val="10"/>
        <color theme="1"/>
        <rFont val="Calibri"/>
      </rPr>
      <t xml:space="preserve"> location).</t>
    </r>
  </si>
  <si>
    <t>Bhubaneswar</t>
  </si>
  <si>
    <t xml:space="preserve"> Hyderabad</t>
  </si>
  <si>
    <t>Clarification Required</t>
  </si>
  <si>
    <t>Ques-3</t>
  </si>
  <si>
    <t>Would you like to migrate this application from the current hosted location?</t>
  </si>
  <si>
    <t>Ques-4</t>
  </si>
  <si>
    <t>Is this application accessible to the public (on the Internet)?</t>
  </si>
  <si>
    <t>Ques-5</t>
  </si>
  <si>
    <t>How old is your application?</t>
  </si>
  <si>
    <t>Ques-6</t>
  </si>
  <si>
    <t xml:space="preserve">If Application is Hosted on existing "NIC Cloud Hosting Model", then share the CUC Code (Cloud Unit Code) </t>
  </si>
  <si>
    <t>Ques-7</t>
  </si>
  <si>
    <t>Is your application structured as monolithic or microservices-based</t>
  </si>
  <si>
    <t>Ques-8</t>
  </si>
  <si>
    <t xml:space="preserve">What is the current data size (In GBs)? </t>
  </si>
  <si>
    <t>Ques-9</t>
  </si>
  <si>
    <r>
      <rPr>
        <sz val="11"/>
        <color theme="1"/>
        <rFont val="Calibri"/>
      </rPr>
      <t>What is the Data growth  "</t>
    </r>
    <r>
      <rPr>
        <b/>
        <sz val="11"/>
        <color theme="1"/>
        <rFont val="Calibri"/>
      </rPr>
      <t>Quarter on Quarter</t>
    </r>
    <r>
      <rPr>
        <sz val="11"/>
        <color theme="1"/>
        <rFont val="Calibri"/>
      </rPr>
      <t>"?</t>
    </r>
  </si>
  <si>
    <t>Ques-10</t>
  </si>
  <si>
    <r>
      <rPr>
        <sz val="11"/>
        <color theme="1"/>
        <rFont val="Calibri"/>
      </rPr>
      <t>What is the expected Compute growth "</t>
    </r>
    <r>
      <rPr>
        <b/>
        <sz val="11"/>
        <color theme="1"/>
        <rFont val="Calibri"/>
      </rPr>
      <t>Quarter on Quarter</t>
    </r>
    <r>
      <rPr>
        <sz val="11"/>
        <color theme="1"/>
        <rFont val="Calibri"/>
      </rPr>
      <t>"?</t>
    </r>
  </si>
  <si>
    <t>Ques-11</t>
  </si>
  <si>
    <t>What is the total number of users?</t>
  </si>
  <si>
    <t>Ques-12</t>
  </si>
  <si>
    <t xml:space="preserve">What is the Concurrent number of users/Clients who are accessing the Application at the same time (simultaneous connection)? </t>
  </si>
  <si>
    <t>Ques-13</t>
  </si>
  <si>
    <t>What could be the average size of each request?</t>
  </si>
  <si>
    <t>Ques-14</t>
  </si>
  <si>
    <t>Ques-15</t>
  </si>
  <si>
    <t>Does your application require DR (Disaster Recovery) site.</t>
  </si>
  <si>
    <t>Ques-16</t>
  </si>
  <si>
    <t>What is the DR Compute Capacity Needed? (Example 100% of Prod, 50% of Prod etc.)</t>
  </si>
  <si>
    <t>Ques-17</t>
  </si>
  <si>
    <t>Is your application need a Content Delivery Network (CDN)?</t>
  </si>
  <si>
    <t>Ques-18</t>
  </si>
  <si>
    <t>please specify the application environment? (Prod, Dev, UAT, DR etc.)</t>
  </si>
  <si>
    <t>Detailed Questionnaire Responses</t>
  </si>
  <si>
    <t>Detailed Questionnaire Responses refer to comprehensive answers requires in response to a set of questions posed in a questionnaire. The aim to provide a clear understanding of your application and associated workloads. Detailed questionnaire responses are valuable for gathering specific information or making informed decisions based on the data collected.</t>
  </si>
  <si>
    <t>Questionnaire</t>
  </si>
  <si>
    <t>Answer</t>
  </si>
  <si>
    <t>What is the primary objective of moving  the application/workload to National Government cloud?</t>
  </si>
  <si>
    <t xml:space="preserve">What is the application's name, and Please provide an overview of the application and its functions.	</t>
  </si>
  <si>
    <r>
      <rPr>
        <b/>
        <sz val="11"/>
        <color theme="1"/>
        <rFont val="Calibri"/>
      </rPr>
      <t xml:space="preserve">Detailed Questionnaire Responses for Disaster Recovery (DR Site)
</t>
    </r>
    <r>
      <rPr>
        <b/>
        <sz val="10"/>
        <color theme="1"/>
        <rFont val="Calibri"/>
      </rPr>
      <t>**Please Ignore this Section if DR is not required**</t>
    </r>
  </si>
  <si>
    <t xml:space="preserve">Application </t>
  </si>
  <si>
    <t xml:space="preserve">Third Party Integration with Application? If yes, please provide details. </t>
  </si>
  <si>
    <t>Network</t>
  </si>
  <si>
    <t>How many Load Balancers are used in Application.</t>
  </si>
  <si>
    <t>List out the method of integration between applications in scope and impacted applications? (Whether any DB link exists or is it only through APIs)</t>
  </si>
  <si>
    <t>Data Sync mechanism</t>
  </si>
  <si>
    <t>What is the size of data to be synced between DR – Production?</t>
  </si>
  <si>
    <t>BCP and Risk profile document</t>
  </si>
  <si>
    <t>Please Share Current (As-Is) or (To-Be) Application or Network Architecture.</t>
  </si>
  <si>
    <t>Please provide a network/application deployment diagram indicating the number of application, web servers, middleware, and database layers whereever applicable.</t>
  </si>
  <si>
    <t>Capacity Requirements
(Purpose of this sheet is to get the infrastructure requirements for the application to be hosted on the cloud.  This sheet will also be used to right size the applications and scale based on workload demand requirements)</t>
  </si>
  <si>
    <r>
      <rPr>
        <b/>
        <sz val="14"/>
        <color theme="1"/>
        <rFont val="Calibri"/>
      </rPr>
      <t>Compute Requirements - (Only for IaaS)</t>
    </r>
    <r>
      <rPr>
        <b/>
        <sz val="11"/>
        <color theme="1"/>
        <rFont val="Calibri"/>
      </rPr>
      <t xml:space="preserve">
Infrastructure as a Service (IaaS) is a cloud computing service model that provides virtualized computing resources </t>
    </r>
  </si>
  <si>
    <t>Environment
(Prod/Dev/Test/SIT/UAT/DR)</t>
  </si>
  <si>
    <t>Layer (Web/App/Database)</t>
  </si>
  <si>
    <t xml:space="preserve">Application Name (website Name) </t>
  </si>
  <si>
    <t>No of VM</t>
  </si>
  <si>
    <t>Operating System</t>
  </si>
  <si>
    <t xml:space="preserve">Operating System Version/
DB Platform Version </t>
  </si>
  <si>
    <t>vCPU 
(per VM)</t>
  </si>
  <si>
    <t>RAM
(per VM in GB)</t>
  </si>
  <si>
    <t>OS Disk Size per VM
(in GB) Default
100 GB - Linux
200 GB - Windows</t>
  </si>
  <si>
    <t xml:space="preserve">IOPS Requirement Per VM
(Input/Ouput Operations Per Second) </t>
  </si>
  <si>
    <t>DMZ/Non DMZ</t>
  </si>
  <si>
    <t>Remarks</t>
  </si>
  <si>
    <r>
      <rPr>
        <b/>
        <sz val="11"/>
        <color theme="1"/>
        <rFont val="Calibri"/>
      </rPr>
      <t xml:space="preserve">Prod 
</t>
    </r>
    <r>
      <rPr>
        <b/>
        <u/>
        <sz val="9"/>
        <color theme="1"/>
        <rFont val="Calibri"/>
      </rPr>
      <t>(Do Not Delete)</t>
    </r>
  </si>
  <si>
    <t>Bastion Host</t>
  </si>
  <si>
    <t>Ubuntu</t>
  </si>
  <si>
    <t>NA</t>
  </si>
  <si>
    <t>DMZ</t>
  </si>
  <si>
    <t xml:space="preserve">Bastion Host is the recommended and mandatory Access method . Hence a Line item is already added. Separate instance of Bastion for Prod,Dev/UAT , DR etc. shall be provided. </t>
  </si>
  <si>
    <t>UAT Env.</t>
  </si>
  <si>
    <r>
      <rPr>
        <b/>
        <sz val="14"/>
        <color theme="1"/>
        <rFont val="Calibri"/>
      </rPr>
      <t>Database Requirement  (PaaS)</t>
    </r>
    <r>
      <rPr>
        <b/>
        <sz val="10"/>
        <color theme="1"/>
        <rFont val="Calibri"/>
      </rPr>
      <t xml:space="preserve">
(PaaS for DB (Platform as a Service for Databases) refers to a cloud computing service model that provides a platform specifically designed for managing and deploying databases without the need to manage the underlying hardware and software infrastructure.)</t>
    </r>
  </si>
  <si>
    <t>Environment</t>
  </si>
  <si>
    <t>Database Name</t>
  </si>
  <si>
    <t>PaaS</t>
  </si>
  <si>
    <t>Version</t>
  </si>
  <si>
    <t>Number/Count</t>
  </si>
  <si>
    <t>vCPU</t>
  </si>
  <si>
    <t>RAM</t>
  </si>
  <si>
    <t>Current DB Size
in GB</t>
  </si>
  <si>
    <t>DB Storage Size Requirement in GB</t>
  </si>
  <si>
    <t>PostgreSQL</t>
  </si>
  <si>
    <t>IaaS Only</t>
  </si>
  <si>
    <t>Compute for Containers</t>
  </si>
  <si>
    <t>Environment
Cluster Name if Any</t>
  </si>
  <si>
    <t>Number of Master  Nodes</t>
  </si>
  <si>
    <t>Number of Worker Nodes</t>
  </si>
  <si>
    <t xml:space="preserve">vCPU Per Node
</t>
  </si>
  <si>
    <t>Memory 
Per Node</t>
  </si>
  <si>
    <t>OS Disk Size 
(in GB)  Default
100 GB</t>
  </si>
  <si>
    <t>Additional Storage Per Cluster (Persistent Volumes) in GB</t>
  </si>
  <si>
    <t>NOTE</t>
  </si>
  <si>
    <t>DR Env.</t>
  </si>
  <si>
    <t>Additional Storage Requirement</t>
  </si>
  <si>
    <t>Backup Requirements</t>
  </si>
  <si>
    <t>Type of Storage</t>
  </si>
  <si>
    <t>Disks Size (in GB)</t>
  </si>
  <si>
    <t>Backup Size (GB)</t>
  </si>
  <si>
    <t>Network Services</t>
  </si>
  <si>
    <t>Service Name</t>
  </si>
  <si>
    <t>Unit of measure</t>
  </si>
  <si>
    <t xml:space="preserve">Capacity Requirements 
(For Prod) </t>
  </si>
  <si>
    <t>Number of Connections (For Prod)</t>
  </si>
  <si>
    <t>Capacity Requirements
 (For DR)</t>
  </si>
  <si>
    <t>Number of Connections
(For DR)</t>
  </si>
  <si>
    <t>Site to Site VPN</t>
  </si>
  <si>
    <t>Per connection / Month </t>
  </si>
  <si>
    <t>1. Please specify if you are currently using NIC provided VPN.
2. Proxy will be provided for all outbound internet connection only</t>
  </si>
  <si>
    <t>Client to Site VPN</t>
  </si>
  <si>
    <t>CDN**</t>
  </si>
  <si>
    <t>per GB/month</t>
  </si>
  <si>
    <t>Public IP</t>
  </si>
  <si>
    <t>IP/Month </t>
  </si>
  <si>
    <t>Security Services</t>
  </si>
  <si>
    <t xml:space="preserve">Capacity Requirements (For Prod) </t>
  </si>
  <si>
    <t>Capacity Requirements (For DR)</t>
  </si>
  <si>
    <t>Application Load Balancer</t>
  </si>
  <si>
    <t>Throughput in Mbps</t>
  </si>
  <si>
    <t>Next Gen. Firewall</t>
  </si>
  <si>
    <t>Anti Malware</t>
  </si>
  <si>
    <t xml:space="preserve">Per License Per VM / Month </t>
  </si>
  <si>
    <t>The Anti-Malware &amp; Vulnerability Scanning services are mandatory and will be included in the total count of VMs (IaaS and PaaS).</t>
  </si>
  <si>
    <t>Vulnerability Scanning</t>
  </si>
  <si>
    <t>Instance scanned / Month</t>
  </si>
  <si>
    <t>SSL Certificates</t>
  </si>
  <si>
    <t>Per Certificate / Month </t>
  </si>
  <si>
    <t>KMS</t>
  </si>
  <si>
    <t>No of Keys /Month</t>
  </si>
  <si>
    <t>HSM</t>
  </si>
  <si>
    <t>SIEM</t>
  </si>
  <si>
    <t>EPS</t>
  </si>
  <si>
    <t>Ubuntu 22</t>
  </si>
  <si>
    <t>Windows 2019</t>
  </si>
  <si>
    <t>Windows 2022</t>
  </si>
  <si>
    <t>RHEL 8</t>
  </si>
  <si>
    <t>RHEL 9</t>
  </si>
  <si>
    <t>Ubuntu 24</t>
  </si>
  <si>
    <t>Redis</t>
  </si>
  <si>
    <t>MS-SQL</t>
  </si>
  <si>
    <t>MYSQL</t>
  </si>
  <si>
    <t>MongoDB</t>
  </si>
  <si>
    <t>DBaaS</t>
  </si>
  <si>
    <t>Additional Disk 
per VM - Block Storage  (in GB) per VM</t>
  </si>
  <si>
    <t>Not Required</t>
  </si>
  <si>
    <t>Others, Put in Remarks</t>
  </si>
  <si>
    <t xml:space="preserve">IOPS Requirement 
(Input/Ouput Operations Per Second) </t>
  </si>
  <si>
    <t>200 Mbps</t>
  </si>
  <si>
    <t>Above 5 Gbps</t>
  </si>
  <si>
    <t>DDoS Layer 7</t>
  </si>
  <si>
    <t>Web Application Firewall</t>
  </si>
  <si>
    <r>
      <t>What is the expected user growth "</t>
    </r>
    <r>
      <rPr>
        <b/>
        <sz val="11"/>
        <color theme="1"/>
        <rFont val="Calibri"/>
        <family val="2"/>
      </rPr>
      <t>Quarter on Quarter</t>
    </r>
    <r>
      <rPr>
        <sz val="11"/>
        <color theme="1"/>
        <rFont val="Calibri"/>
        <family val="2"/>
      </rPr>
      <t xml:space="preserve">"?	</t>
    </r>
  </si>
  <si>
    <t>IaaS</t>
  </si>
  <si>
    <t xml:space="preserve">PaaS </t>
  </si>
  <si>
    <t>PostgreSQL 16.7</t>
  </si>
  <si>
    <t>MySQL 8.0.32</t>
  </si>
  <si>
    <t>MSSQL 2022</t>
  </si>
  <si>
    <t>Latest Version</t>
  </si>
  <si>
    <t>Redis vCPU</t>
  </si>
  <si>
    <t>Redis RAM)</t>
  </si>
  <si>
    <t>900 Mbps</t>
  </si>
  <si>
    <t>Yes</t>
  </si>
  <si>
    <t xml:space="preserve">*Valid in case of Non-Production environment only. </t>
  </si>
  <si>
    <t>Select</t>
  </si>
  <si>
    <t>50 Mbps</t>
  </si>
  <si>
    <t>100 Mbps</t>
  </si>
  <si>
    <t>300 Mbps</t>
  </si>
  <si>
    <t>400 Mbps</t>
  </si>
  <si>
    <t>500 Mbps</t>
  </si>
  <si>
    <t>600 Mbps</t>
  </si>
  <si>
    <t>700 Mbps</t>
  </si>
  <si>
    <t>800 Mbps</t>
  </si>
  <si>
    <t>1 Gbps</t>
  </si>
  <si>
    <t>2 Gbps</t>
  </si>
  <si>
    <t>3 Gbps</t>
  </si>
  <si>
    <t>4 Gbps</t>
  </si>
  <si>
    <t>5 Gbps</t>
  </si>
  <si>
    <t>By default, OS disk backup is mandatory for all Virtual Machine and PaaS services provisioned through NGC.</t>
  </si>
  <si>
    <t>• Mandatory network security services 
i.e. Firewall (NGFW)
• WAF, Application load balancer &amp; DDoS protection is recommended service for public facing applications but not mandatory.</t>
  </si>
  <si>
    <t>Ques-19</t>
  </si>
  <si>
    <t>Ques-20</t>
  </si>
  <si>
    <t>Ques-21</t>
  </si>
  <si>
    <t>Please confirm the expected IOPS requirement (read/write) for the application.</t>
  </si>
  <si>
    <t>Recommendations</t>
  </si>
  <si>
    <t>Capacity Requirements (For Staging, UAT, Dev)</t>
  </si>
  <si>
    <t>Do you require an SMS gateway service?</t>
  </si>
  <si>
    <t>Do you require an email gateway service (SMTP/transactional)?</t>
  </si>
  <si>
    <t>Do you require Common Security Services for Prod &amp; Non Prod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</si>
</sst>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1"/>
      <color theme="1"/>
      <name val="Calibri"/>
    </font>
    <font>
      <sz val="11"/>
      <color theme="1"/>
      <name val="Calibri"/>
    </font>
    <font>
      <sz val="11"/>
      <name val="Calibri"/>
    </font>
    <font>
      <b/>
      <sz val="16"/>
      <color theme="1"/>
      <name val="Calibri"/>
    </font>
    <font>
      <sz val="10"/>
      <color theme="1"/>
      <name val="Calibri"/>
    </font>
    <font>
      <b/>
      <sz val="10"/>
      <color theme="1"/>
      <name val="Calibri"/>
    </font>
    <font>
      <u/>
      <sz val="11"/>
      <color theme="10"/>
      <name val="Calibri"/>
    </font>
    <font>
      <b/>
      <sz val="11"/>
      <color theme="1"/>
      <name val="Calibri"/>
    </font>
    <font>
      <b/>
      <sz val="17"/>
      <color theme="1"/>
      <name val="Calibri"/>
    </font>
    <font>
      <b/>
      <sz val="10"/>
      <color rgb="FF000000"/>
      <name val="Calibri"/>
    </font>
    <font>
      <sz val="11"/>
      <color theme="1"/>
      <name val="Calibri"/>
      <scheme val="minor"/>
    </font>
    <font>
      <b/>
      <sz val="14"/>
      <color theme="1"/>
      <name val="Calibri"/>
    </font>
    <font>
      <sz val="10"/>
      <color rgb="FFFF0000"/>
      <name val="Calibri"/>
    </font>
    <font>
      <b/>
      <u/>
      <sz val="9"/>
      <color theme="1"/>
      <name val="Calibri"/>
    </font>
    <font>
      <sz val="11"/>
      <color theme="1"/>
      <name val="Calibri"/>
      <family val="2"/>
    </font>
    <font>
      <sz val="11"/>
      <name val="Calibri"/>
      <family val="2"/>
    </font>
    <font>
      <b/>
      <sz val="10"/>
      <color theme="1"/>
      <name val="Calibri"/>
      <family val="2"/>
    </font>
    <font>
      <sz val="10"/>
      <color theme="1"/>
      <name val="Calibri"/>
      <family val="2"/>
    </font>
    <font>
      <b/>
      <sz val="11"/>
      <color theme="1"/>
      <name val="Calibri"/>
      <family val="2"/>
    </font>
    <font>
      <sz val="9"/>
      <color rgb="FF3D3D3A"/>
      <name val="Segoe UI"/>
      <family val="2"/>
    </font>
    <font>
      <b/>
      <sz val="10"/>
      <color rgb="FF000000"/>
      <name val="Calibri"/>
      <family val="2"/>
    </font>
    <font>
      <sz val="10"/>
      <name val="Calibri"/>
      <family val="2"/>
    </font>
  </fonts>
  <fills count="10">
    <fill>
      <patternFill patternType="none"/>
    </fill>
    <fill>
      <patternFill patternType="gray125"/>
    </fill>
    <fill>
      <patternFill patternType="solid">
        <fgColor theme="0"/>
        <bgColor theme="0"/>
      </patternFill>
    </fill>
    <fill>
      <patternFill patternType="solid">
        <fgColor rgb="FF9CC2E5"/>
        <bgColor rgb="FF9CC2E5"/>
      </patternFill>
    </fill>
    <fill>
      <patternFill patternType="solid">
        <fgColor rgb="FFFFD965"/>
        <bgColor rgb="FFFFD965"/>
      </patternFill>
    </fill>
    <fill>
      <patternFill patternType="solid">
        <fgColor rgb="FFD6DCE4"/>
        <bgColor rgb="FFD6DCE4"/>
      </patternFill>
    </fill>
    <fill>
      <patternFill patternType="solid">
        <fgColor rgb="FFFFFF00"/>
        <bgColor rgb="FFFFFF00"/>
      </patternFill>
    </fill>
    <fill>
      <patternFill patternType="solid">
        <fgColor rgb="FFC5E0B3"/>
        <bgColor rgb="FFC5E0B3"/>
      </patternFill>
    </fill>
    <fill>
      <patternFill patternType="solid">
        <fgColor rgb="FFB4C6E7"/>
        <bgColor rgb="FFB4C6E7"/>
      </patternFill>
    </fill>
    <fill>
      <patternFill patternType="solid">
        <fgColor rgb="FFFFE598"/>
        <bgColor rgb="FFFFE598"/>
      </patternFill>
    </fill>
  </fills>
  <borders count="6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medium">
        <color rgb="FF000000"/>
      </right>
      <top/>
      <bottom/>
      <diagonal/>
    </border>
    <border>
      <left style="thin">
        <color rgb="FF000000"/>
      </left>
      <right style="medium">
        <color rgb="FF000000"/>
      </right>
      <top style="thin">
        <color rgb="FF000000"/>
      </top>
      <bottom/>
      <diagonal/>
    </border>
  </borders>
  <cellStyleXfs count="1">
    <xf numFmtId="0" fontId="0" fillId="0" borderId="0"/>
  </cellStyleXfs>
  <cellXfs count="193">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vertical="top"/>
    </xf>
    <xf numFmtId="0" fontId="2" fillId="2" borderId="2" xfId="0" applyFont="1" applyFill="1" applyBorder="1"/>
    <xf numFmtId="0" fontId="2" fillId="2" borderId="1" xfId="0" applyFont="1" applyFill="1" applyBorder="1" applyAlignment="1">
      <alignment horizontal="center" vertical="top"/>
    </xf>
    <xf numFmtId="0" fontId="2" fillId="2" borderId="1" xfId="0" applyFont="1" applyFill="1" applyBorder="1" applyAlignment="1">
      <alignment vertical="top"/>
    </xf>
    <xf numFmtId="0" fontId="1" fillId="2" borderId="2" xfId="0" applyFont="1" applyFill="1" applyBorder="1" applyAlignment="1">
      <alignment vertical="top"/>
    </xf>
    <xf numFmtId="0" fontId="5" fillId="5" borderId="14" xfId="0" applyFont="1" applyFill="1" applyBorder="1" applyAlignment="1">
      <alignment horizontal="center"/>
    </xf>
    <xf numFmtId="0" fontId="5" fillId="5" borderId="15" xfId="0" applyFont="1" applyFill="1" applyBorder="1"/>
    <xf numFmtId="0" fontId="2" fillId="0" borderId="16" xfId="0" applyFont="1" applyBorder="1" applyAlignment="1">
      <alignment vertical="top"/>
    </xf>
    <xf numFmtId="0" fontId="2" fillId="2" borderId="2" xfId="0" applyFont="1" applyFill="1" applyBorder="1" applyAlignment="1">
      <alignment horizontal="left" vertical="top" wrapText="1"/>
    </xf>
    <xf numFmtId="0" fontId="5" fillId="5" borderId="17" xfId="0" applyFont="1" applyFill="1" applyBorder="1" applyAlignment="1">
      <alignment horizontal="center"/>
    </xf>
    <xf numFmtId="0" fontId="5" fillId="5" borderId="1" xfId="0" applyFont="1" applyFill="1" applyBorder="1"/>
    <xf numFmtId="0" fontId="5" fillId="5" borderId="18" xfId="0" applyFont="1" applyFill="1" applyBorder="1" applyAlignment="1">
      <alignment horizontal="center"/>
    </xf>
    <xf numFmtId="0" fontId="5" fillId="5" borderId="19" xfId="0" applyFont="1" applyFill="1" applyBorder="1"/>
    <xf numFmtId="0" fontId="2" fillId="2" borderId="2" xfId="0" applyFont="1" applyFill="1" applyBorder="1" applyAlignment="1">
      <alignment horizontal="center" vertical="center"/>
    </xf>
    <xf numFmtId="0" fontId="2" fillId="4" borderId="20" xfId="0" applyFont="1" applyFill="1" applyBorder="1"/>
    <xf numFmtId="0" fontId="1" fillId="4" borderId="21" xfId="0" applyFont="1" applyFill="1" applyBorder="1" applyAlignment="1">
      <alignment horizontal="center"/>
    </xf>
    <xf numFmtId="0" fontId="1" fillId="4" borderId="21" xfId="0" applyFont="1" applyFill="1" applyBorder="1" applyAlignment="1">
      <alignment horizontal="center" vertical="center"/>
    </xf>
    <xf numFmtId="0" fontId="1" fillId="4" borderId="22" xfId="0" applyFont="1" applyFill="1" applyBorder="1" applyAlignment="1">
      <alignment horizontal="center"/>
    </xf>
    <xf numFmtId="0" fontId="5" fillId="5" borderId="1" xfId="0" applyFont="1" applyFill="1" applyBorder="1" applyAlignment="1">
      <alignment horizontal="center"/>
    </xf>
    <xf numFmtId="0" fontId="6" fillId="6" borderId="1" xfId="0" applyFont="1" applyFill="1" applyBorder="1"/>
    <xf numFmtId="0" fontId="6" fillId="0" borderId="1" xfId="0" applyFont="1" applyBorder="1"/>
    <xf numFmtId="0" fontId="7" fillId="0" borderId="1" xfId="0" applyFont="1" applyBorder="1" applyAlignment="1">
      <alignment horizontal="center" vertical="center"/>
    </xf>
    <xf numFmtId="0" fontId="2" fillId="0" borderId="1" xfId="0" applyFont="1" applyBorder="1"/>
    <xf numFmtId="0" fontId="6" fillId="0" borderId="1" xfId="0" applyFont="1" applyBorder="1" applyAlignment="1">
      <alignment horizontal="center" vertical="center"/>
    </xf>
    <xf numFmtId="0" fontId="5" fillId="6" borderId="1" xfId="0" applyFont="1" applyFill="1" applyBorder="1"/>
    <xf numFmtId="0" fontId="5" fillId="0" borderId="1" xfId="0" applyFont="1" applyBorder="1"/>
    <xf numFmtId="0" fontId="5" fillId="0" borderId="1" xfId="0" applyFont="1" applyBorder="1" applyAlignment="1">
      <alignment horizontal="center" vertical="center"/>
    </xf>
    <xf numFmtId="0" fontId="1" fillId="4" borderId="1" xfId="0" applyFont="1" applyFill="1" applyBorder="1"/>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2" fillId="0" borderId="1" xfId="0" applyFont="1" applyBorder="1" applyAlignment="1">
      <alignment horizontal="center" vertical="center"/>
    </xf>
    <xf numFmtId="0" fontId="2" fillId="0" borderId="16" xfId="0" applyFont="1" applyBorder="1" applyAlignment="1">
      <alignment horizontal="center"/>
    </xf>
    <xf numFmtId="0" fontId="2" fillId="4" borderId="2" xfId="0" applyFont="1" applyFill="1" applyBorder="1"/>
    <xf numFmtId="9" fontId="2" fillId="0" borderId="1" xfId="0" applyNumberFormat="1" applyFont="1" applyBorder="1" applyAlignment="1">
      <alignment horizontal="center" vertical="center"/>
    </xf>
    <xf numFmtId="9" fontId="2" fillId="0" borderId="16" xfId="0" applyNumberFormat="1" applyFont="1" applyBorder="1" applyAlignment="1">
      <alignment horizontal="center"/>
    </xf>
    <xf numFmtId="0" fontId="1" fillId="4" borderId="1" xfId="0" applyFont="1" applyFill="1" applyBorder="1" applyAlignment="1">
      <alignment horizontal="center" vertical="top" wrapText="1"/>
    </xf>
    <xf numFmtId="0" fontId="1" fillId="7" borderId="1" xfId="0" applyFont="1" applyFill="1" applyBorder="1" applyAlignment="1">
      <alignment horizontal="center" vertical="center"/>
    </xf>
    <xf numFmtId="0" fontId="6" fillId="7" borderId="24" xfId="0" applyFont="1" applyFill="1" applyBorder="1" applyAlignment="1">
      <alignment horizontal="left" vertical="center" wrapText="1"/>
    </xf>
    <xf numFmtId="0" fontId="6" fillId="7" borderId="25" xfId="0" applyFont="1" applyFill="1" applyBorder="1" applyAlignment="1">
      <alignment horizontal="left" vertical="center" wrapText="1"/>
    </xf>
    <xf numFmtId="0" fontId="6" fillId="7" borderId="26" xfId="0" applyFont="1" applyFill="1" applyBorder="1" applyAlignment="1">
      <alignment horizontal="left" vertical="center" wrapText="1"/>
    </xf>
    <xf numFmtId="0" fontId="2" fillId="2" borderId="27" xfId="0" applyFont="1" applyFill="1" applyBorder="1"/>
    <xf numFmtId="0" fontId="2" fillId="2" borderId="28" xfId="0" applyFont="1" applyFill="1" applyBorder="1"/>
    <xf numFmtId="0" fontId="2" fillId="2" borderId="28" xfId="0" applyFont="1" applyFill="1" applyBorder="1" applyAlignment="1">
      <alignment horizontal="center" vertical="center"/>
    </xf>
    <xf numFmtId="0" fontId="2" fillId="0" borderId="0" xfId="0" applyFont="1" applyAlignment="1">
      <alignment horizontal="center" vertical="center"/>
    </xf>
    <xf numFmtId="0" fontId="2" fillId="2" borderId="29" xfId="0" applyFont="1" applyFill="1" applyBorder="1"/>
    <xf numFmtId="0" fontId="2" fillId="2" borderId="30" xfId="0" applyFont="1" applyFill="1" applyBorder="1"/>
    <xf numFmtId="0" fontId="2" fillId="2" borderId="31" xfId="0" applyFont="1" applyFill="1" applyBorder="1"/>
    <xf numFmtId="0" fontId="2" fillId="2" borderId="32" xfId="0" applyFont="1" applyFill="1" applyBorder="1"/>
    <xf numFmtId="0" fontId="2" fillId="2" borderId="33" xfId="0" applyFont="1" applyFill="1" applyBorder="1"/>
    <xf numFmtId="0" fontId="2" fillId="7" borderId="36" xfId="0" applyFont="1" applyFill="1" applyBorder="1" applyAlignment="1" applyProtection="1">
      <alignment horizontal="center" vertical="center"/>
      <protection locked="0"/>
    </xf>
    <xf numFmtId="0" fontId="2" fillId="0" borderId="1" xfId="0" applyFont="1" applyBorder="1" applyAlignment="1" applyProtection="1">
      <alignment horizontal="center"/>
      <protection locked="0"/>
    </xf>
    <xf numFmtId="0" fontId="2" fillId="0" borderId="1" xfId="0" applyFont="1" applyBorder="1" applyProtection="1">
      <protection locked="0"/>
    </xf>
    <xf numFmtId="0" fontId="2" fillId="7" borderId="1" xfId="0" applyFont="1" applyFill="1" applyBorder="1" applyAlignment="1" applyProtection="1">
      <alignment horizontal="center" vertical="center"/>
      <protection locked="0"/>
    </xf>
    <xf numFmtId="0" fontId="2" fillId="2" borderId="2" xfId="0" applyFont="1" applyFill="1" applyBorder="1" applyProtection="1">
      <protection locked="0"/>
    </xf>
    <xf numFmtId="0" fontId="6" fillId="9" borderId="20" xfId="0" applyFont="1" applyFill="1" applyBorder="1" applyAlignment="1" applyProtection="1">
      <alignment horizontal="center" vertical="center" wrapText="1"/>
      <protection locked="0"/>
    </xf>
    <xf numFmtId="0" fontId="6" fillId="9" borderId="21" xfId="0" applyFont="1" applyFill="1" applyBorder="1" applyAlignment="1" applyProtection="1">
      <alignment horizontal="center" vertical="center" wrapText="1"/>
      <protection locked="0"/>
    </xf>
    <xf numFmtId="0" fontId="6" fillId="9" borderId="22" xfId="0" applyFont="1" applyFill="1" applyBorder="1" applyAlignment="1" applyProtection="1">
      <alignment horizontal="center" vertical="center" wrapText="1"/>
      <protection locked="0"/>
    </xf>
    <xf numFmtId="0" fontId="6" fillId="9" borderId="19" xfId="0" applyFont="1" applyFill="1" applyBorder="1" applyAlignment="1" applyProtection="1">
      <alignment horizontal="center" vertical="center" wrapText="1"/>
      <protection locked="0"/>
    </xf>
    <xf numFmtId="0" fontId="6" fillId="9" borderId="40" xfId="0" applyFont="1" applyFill="1" applyBorder="1" applyAlignment="1" applyProtection="1">
      <alignment horizontal="center" vertical="center" wrapText="1"/>
      <protection locked="0"/>
    </xf>
    <xf numFmtId="0" fontId="2" fillId="2" borderId="15" xfId="0" applyFont="1" applyFill="1" applyBorder="1" applyAlignment="1" applyProtection="1">
      <alignment horizontal="center" vertical="center"/>
      <protection locked="0"/>
    </xf>
    <xf numFmtId="0" fontId="2" fillId="0" borderId="38" xfId="0" applyFont="1" applyBorder="1" applyAlignment="1" applyProtection="1">
      <alignment horizontal="center"/>
      <protection locked="0"/>
    </xf>
    <xf numFmtId="0" fontId="2" fillId="7" borderId="15" xfId="0" applyFont="1" applyFill="1" applyBorder="1" applyAlignment="1" applyProtection="1">
      <alignment horizontal="center" vertical="center"/>
      <protection locked="0"/>
    </xf>
    <xf numFmtId="0" fontId="2" fillId="2" borderId="15" xfId="0" applyFont="1" applyFill="1" applyBorder="1" applyAlignment="1" applyProtection="1">
      <alignment horizontal="center" vertical="top"/>
      <protection locked="0"/>
    </xf>
    <xf numFmtId="0" fontId="2" fillId="2" borderId="1" xfId="0" applyFont="1" applyFill="1" applyBorder="1" applyAlignment="1" applyProtection="1">
      <alignment horizontal="center" vertical="top"/>
      <protection locked="0"/>
    </xf>
    <xf numFmtId="0" fontId="2" fillId="2" borderId="1" xfId="0" applyFont="1" applyFill="1" applyBorder="1" applyAlignment="1" applyProtection="1">
      <alignment vertical="top"/>
      <protection locked="0"/>
    </xf>
    <xf numFmtId="0" fontId="2" fillId="2" borderId="2" xfId="0" applyFont="1" applyFill="1" applyBorder="1" applyAlignment="1" applyProtection="1">
      <alignment vertical="top"/>
      <protection locked="0"/>
    </xf>
    <xf numFmtId="0" fontId="4" fillId="2" borderId="2" xfId="0" applyFont="1" applyFill="1" applyBorder="1" applyAlignment="1" applyProtection="1">
      <alignment vertical="center"/>
      <protection locked="0"/>
    </xf>
    <xf numFmtId="0" fontId="6" fillId="9" borderId="1" xfId="0" applyFont="1" applyFill="1" applyBorder="1" applyAlignment="1" applyProtection="1">
      <alignment horizontal="center" vertical="center" wrapText="1"/>
      <protection locked="0"/>
    </xf>
    <xf numFmtId="0" fontId="5" fillId="7" borderId="1" xfId="0" applyFont="1" applyFill="1" applyBorder="1" applyAlignment="1" applyProtection="1">
      <alignment horizontal="left" vertical="top" wrapText="1"/>
      <protection locked="0"/>
    </xf>
    <xf numFmtId="0" fontId="5" fillId="2" borderId="1" xfId="0" applyFont="1" applyFill="1" applyBorder="1" applyProtection="1">
      <protection locked="0"/>
    </xf>
    <xf numFmtId="0" fontId="5" fillId="7" borderId="1" xfId="0" applyFont="1" applyFill="1" applyBorder="1" applyAlignment="1" applyProtection="1">
      <alignment horizontal="left" vertical="center"/>
      <protection locked="0"/>
    </xf>
    <xf numFmtId="0" fontId="13" fillId="2" borderId="1" xfId="0" applyFont="1" applyFill="1" applyBorder="1" applyProtection="1">
      <protection locked="0"/>
    </xf>
    <xf numFmtId="0" fontId="5" fillId="2" borderId="2" xfId="0" applyFont="1" applyFill="1" applyBorder="1" applyProtection="1">
      <protection locked="0"/>
    </xf>
    <xf numFmtId="0" fontId="5" fillId="0" borderId="38" xfId="0" applyFont="1" applyBorder="1" applyAlignment="1" applyProtection="1">
      <alignment horizontal="left" vertical="center"/>
      <protection locked="0"/>
    </xf>
    <xf numFmtId="0" fontId="5" fillId="7" borderId="1" xfId="0" applyFont="1" applyFill="1" applyBorder="1" applyAlignment="1" applyProtection="1">
      <alignment horizontal="left" vertical="center" wrapText="1"/>
      <protection locked="0"/>
    </xf>
    <xf numFmtId="0" fontId="5" fillId="7" borderId="1" xfId="0" applyFont="1" applyFill="1" applyBorder="1" applyAlignment="1" applyProtection="1">
      <alignment vertical="top" wrapText="1"/>
      <protection locked="0"/>
    </xf>
    <xf numFmtId="0" fontId="5" fillId="0" borderId="1" xfId="0" applyFont="1" applyBorder="1" applyAlignment="1" applyProtection="1">
      <alignment horizontal="left" vertical="center"/>
      <protection locked="0"/>
    </xf>
    <xf numFmtId="0" fontId="5" fillId="0" borderId="1" xfId="0" applyFont="1" applyBorder="1" applyAlignment="1" applyProtection="1">
      <alignment vertical="top" wrapText="1"/>
      <protection locked="0"/>
    </xf>
    <xf numFmtId="0" fontId="0" fillId="0" borderId="0" xfId="0" applyProtection="1">
      <protection locked="0"/>
    </xf>
    <xf numFmtId="0" fontId="6" fillId="9" borderId="34" xfId="0" applyFont="1" applyFill="1" applyBorder="1" applyAlignment="1" applyProtection="1">
      <alignment horizontal="center" vertical="center" wrapText="1"/>
      <protection locked="0"/>
    </xf>
    <xf numFmtId="0" fontId="6" fillId="9" borderId="33" xfId="0" applyFont="1" applyFill="1" applyBorder="1" applyAlignment="1" applyProtection="1">
      <alignment horizontal="center" vertical="center" wrapText="1"/>
      <protection locked="0"/>
    </xf>
    <xf numFmtId="0" fontId="1" fillId="8" borderId="35" xfId="0" applyFont="1" applyFill="1" applyBorder="1" applyAlignment="1" applyProtection="1">
      <alignment horizontal="center" vertical="center" wrapText="1"/>
      <protection locked="0"/>
    </xf>
    <xf numFmtId="0" fontId="1" fillId="8" borderId="35" xfId="0" applyFont="1" applyFill="1" applyBorder="1" applyAlignment="1" applyProtection="1">
      <alignment horizontal="center" vertical="center"/>
      <protection locked="0"/>
    </xf>
    <xf numFmtId="0" fontId="1" fillId="8" borderId="15" xfId="0" applyFont="1" applyFill="1" applyBorder="1" applyAlignment="1" applyProtection="1">
      <alignment horizontal="center" vertical="center"/>
      <protection locked="0"/>
    </xf>
    <xf numFmtId="0" fontId="10" fillId="8" borderId="35" xfId="0" applyFont="1" applyFill="1" applyBorder="1" applyAlignment="1" applyProtection="1">
      <alignment horizontal="center" vertical="center" readingOrder="1"/>
      <protection locked="0"/>
    </xf>
    <xf numFmtId="0" fontId="6" fillId="8" borderId="35" xfId="0" applyFont="1" applyFill="1" applyBorder="1" applyAlignment="1" applyProtection="1">
      <alignment horizontal="center" vertical="center"/>
      <protection locked="0"/>
    </xf>
    <xf numFmtId="0" fontId="6" fillId="8" borderId="35" xfId="0" applyFont="1" applyFill="1" applyBorder="1" applyAlignment="1" applyProtection="1">
      <alignment horizontal="left" vertical="top" wrapText="1"/>
      <protection locked="0"/>
    </xf>
    <xf numFmtId="0" fontId="2" fillId="2" borderId="28" xfId="0" applyFont="1" applyFill="1" applyBorder="1" applyProtection="1">
      <protection locked="0"/>
    </xf>
    <xf numFmtId="0" fontId="2" fillId="0" borderId="0" xfId="0" applyFont="1" applyAlignment="1" applyProtection="1">
      <alignment vertical="center"/>
      <protection locked="0"/>
    </xf>
    <xf numFmtId="0" fontId="11" fillId="0" borderId="0" xfId="0" applyFont="1" applyProtection="1">
      <protection locked="0"/>
    </xf>
    <xf numFmtId="0" fontId="2" fillId="0" borderId="0" xfId="0" applyFont="1" applyAlignment="1" applyProtection="1">
      <alignment horizontal="left"/>
      <protection locked="0"/>
    </xf>
    <xf numFmtId="0" fontId="15" fillId="0" borderId="1" xfId="0" applyFont="1" applyBorder="1" applyProtection="1">
      <protection locked="0"/>
    </xf>
    <xf numFmtId="0" fontId="0" fillId="0" borderId="0" xfId="0" applyAlignment="1">
      <alignment vertical="center"/>
    </xf>
    <xf numFmtId="0" fontId="6" fillId="8" borderId="35" xfId="0" applyFont="1" applyFill="1" applyBorder="1" applyAlignment="1" applyProtection="1">
      <alignment horizontal="right" vertical="center"/>
      <protection locked="0"/>
    </xf>
    <xf numFmtId="0" fontId="6" fillId="8" borderId="15" xfId="0" applyFont="1" applyFill="1" applyBorder="1" applyAlignment="1" applyProtection="1">
      <alignment horizontal="right" vertical="center"/>
      <protection locked="0"/>
    </xf>
    <xf numFmtId="0" fontId="6" fillId="9" borderId="51" xfId="0" applyFont="1" applyFill="1" applyBorder="1" applyAlignment="1" applyProtection="1">
      <alignment horizontal="center" vertical="center" wrapText="1"/>
      <protection locked="0"/>
    </xf>
    <xf numFmtId="0" fontId="2" fillId="7" borderId="51" xfId="0" applyFont="1" applyFill="1" applyBorder="1" applyAlignment="1" applyProtection="1">
      <alignment horizontal="center" vertical="center"/>
      <protection locked="0"/>
    </xf>
    <xf numFmtId="0" fontId="2" fillId="0" borderId="51" xfId="0" applyFont="1" applyBorder="1" applyAlignment="1" applyProtection="1">
      <alignment horizontal="center" vertical="top"/>
      <protection locked="0"/>
    </xf>
    <xf numFmtId="0" fontId="0" fillId="0" borderId="0" xfId="0" applyAlignment="1">
      <alignment vertical="center" wrapText="1"/>
    </xf>
    <xf numFmtId="0" fontId="17" fillId="9" borderId="21" xfId="0" applyFont="1" applyFill="1" applyBorder="1" applyAlignment="1" applyProtection="1">
      <alignment horizontal="center" vertical="center" wrapText="1"/>
      <protection locked="0"/>
    </xf>
    <xf numFmtId="0" fontId="17" fillId="9" borderId="35" xfId="0" applyFont="1" applyFill="1" applyBorder="1" applyAlignment="1" applyProtection="1">
      <alignment horizontal="center" vertical="center" wrapText="1"/>
      <protection locked="0"/>
    </xf>
    <xf numFmtId="0" fontId="17" fillId="9" borderId="37" xfId="0" applyFont="1" applyFill="1" applyBorder="1" applyAlignment="1" applyProtection="1">
      <alignment horizontal="center" vertical="center" wrapText="1"/>
      <protection locked="0"/>
    </xf>
    <xf numFmtId="0" fontId="15" fillId="2" borderId="2" xfId="0" applyFont="1" applyFill="1" applyBorder="1" applyProtection="1">
      <protection locked="0"/>
    </xf>
    <xf numFmtId="0" fontId="18" fillId="7" borderId="1" xfId="0" applyFont="1" applyFill="1" applyBorder="1" applyAlignment="1" applyProtection="1">
      <alignment horizontal="left" vertical="center" wrapText="1"/>
      <protection locked="0"/>
    </xf>
    <xf numFmtId="0" fontId="2" fillId="0" borderId="48" xfId="0" applyFont="1" applyBorder="1" applyAlignment="1">
      <alignment horizontal="center" vertical="center"/>
    </xf>
    <xf numFmtId="0" fontId="2" fillId="0" borderId="48" xfId="0" applyFont="1" applyBorder="1"/>
    <xf numFmtId="0" fontId="2" fillId="0" borderId="51" xfId="0" applyFont="1" applyBorder="1" applyAlignment="1">
      <alignment horizontal="center" vertical="center"/>
    </xf>
    <xf numFmtId="0" fontId="2" fillId="0" borderId="51" xfId="0" applyFont="1" applyBorder="1"/>
    <xf numFmtId="0" fontId="2" fillId="2" borderId="51" xfId="0" applyFont="1" applyFill="1" applyBorder="1"/>
    <xf numFmtId="0" fontId="5" fillId="0" borderId="36" xfId="0" applyFont="1" applyBorder="1" applyAlignment="1" applyProtection="1">
      <alignment vertical="top" wrapText="1"/>
      <protection locked="0"/>
    </xf>
    <xf numFmtId="0" fontId="20" fillId="0" borderId="0" xfId="0" applyFont="1"/>
    <xf numFmtId="0" fontId="2" fillId="0" borderId="1" xfId="0" applyFont="1" applyBorder="1" applyAlignment="1" applyProtection="1">
      <alignment horizontal="right"/>
      <protection locked="0"/>
    </xf>
    <xf numFmtId="0" fontId="2" fillId="0" borderId="1" xfId="0" applyFont="1" applyBorder="1" applyAlignment="1" applyProtection="1">
      <alignment horizontal="right"/>
    </xf>
    <xf numFmtId="0" fontId="2" fillId="2" borderId="51" xfId="0" applyFont="1" applyFill="1" applyBorder="1" applyAlignment="1" applyProtection="1">
      <alignment horizontal="center" vertical="center"/>
      <protection locked="0"/>
    </xf>
    <xf numFmtId="0" fontId="5" fillId="7" borderId="38" xfId="0" applyFont="1" applyFill="1" applyBorder="1" applyAlignment="1" applyProtection="1">
      <alignment horizontal="left" vertical="center" wrapText="1"/>
      <protection locked="0"/>
    </xf>
    <xf numFmtId="0" fontId="5" fillId="7" borderId="38" xfId="0" applyFont="1" applyFill="1" applyBorder="1" applyAlignment="1" applyProtection="1">
      <alignment vertical="top" wrapText="1"/>
      <protection locked="0"/>
    </xf>
    <xf numFmtId="0" fontId="2" fillId="0" borderId="60" xfId="0" applyFont="1" applyBorder="1"/>
    <xf numFmtId="0" fontId="2" fillId="0" borderId="39" xfId="0" applyFont="1" applyBorder="1" applyAlignment="1">
      <alignment horizontal="center" vertical="center"/>
    </xf>
    <xf numFmtId="0" fontId="2" fillId="0" borderId="51" xfId="0" applyFont="1" applyBorder="1" applyAlignment="1">
      <alignment horizontal="center"/>
    </xf>
    <xf numFmtId="0" fontId="6" fillId="9" borderId="51" xfId="0" applyFont="1" applyFill="1" applyBorder="1" applyAlignment="1" applyProtection="1">
      <alignment vertical="center" wrapText="1"/>
      <protection locked="0"/>
    </xf>
    <xf numFmtId="0" fontId="5" fillId="0" borderId="45" xfId="0" applyFont="1" applyBorder="1" applyAlignment="1" applyProtection="1">
      <alignment vertical="top" wrapText="1"/>
      <protection locked="0"/>
    </xf>
    <xf numFmtId="0" fontId="5" fillId="0" borderId="44" xfId="0" applyFont="1" applyBorder="1" applyAlignment="1" applyProtection="1">
      <alignment vertical="top" wrapText="1"/>
      <protection locked="0"/>
    </xf>
    <xf numFmtId="0" fontId="3" fillId="0" borderId="51" xfId="0" applyFont="1" applyBorder="1" applyAlignment="1" applyProtection="1">
      <protection locked="0"/>
    </xf>
    <xf numFmtId="0" fontId="5" fillId="7" borderId="36" xfId="0" applyFont="1" applyFill="1" applyBorder="1" applyAlignment="1" applyProtection="1">
      <alignment vertical="top" wrapText="1"/>
      <protection locked="0"/>
    </xf>
    <xf numFmtId="0" fontId="5" fillId="0" borderId="39" xfId="0" applyFont="1" applyBorder="1" applyAlignment="1" applyProtection="1">
      <alignment horizontal="left" vertical="center"/>
      <protection locked="0"/>
    </xf>
    <xf numFmtId="0" fontId="2" fillId="0" borderId="36" xfId="0" applyFont="1" applyBorder="1" applyProtection="1">
      <protection locked="0"/>
    </xf>
    <xf numFmtId="0" fontId="6" fillId="9" borderId="61" xfId="0" applyFont="1" applyFill="1" applyBorder="1" applyAlignment="1" applyProtection="1">
      <alignment horizontal="center" vertical="center" wrapText="1"/>
      <protection locked="0"/>
    </xf>
    <xf numFmtId="0" fontId="16" fillId="0" borderId="51" xfId="0" applyFont="1" applyBorder="1" applyAlignment="1" applyProtection="1">
      <protection locked="0"/>
    </xf>
    <xf numFmtId="0" fontId="6" fillId="9" borderId="62" xfId="0" applyFont="1" applyFill="1" applyBorder="1" applyAlignment="1" applyProtection="1">
      <alignment horizontal="center" vertical="center" wrapText="1"/>
      <protection locked="0"/>
    </xf>
    <xf numFmtId="0" fontId="2" fillId="2" borderId="3" xfId="0" applyFont="1" applyFill="1" applyBorder="1" applyAlignment="1">
      <alignment horizontal="center" vertical="top"/>
    </xf>
    <xf numFmtId="0" fontId="3" fillId="0" borderId="4" xfId="0" applyFont="1" applyBorder="1"/>
    <xf numFmtId="0" fontId="4" fillId="3" borderId="5" xfId="0" applyFont="1" applyFill="1" applyBorder="1" applyAlignment="1">
      <alignment horizontal="center"/>
    </xf>
    <xf numFmtId="0" fontId="3" fillId="0" borderId="6" xfId="0" applyFont="1" applyBorder="1"/>
    <xf numFmtId="0" fontId="3" fillId="0" borderId="7" xfId="0" applyFont="1" applyBorder="1"/>
    <xf numFmtId="0" fontId="2" fillId="0" borderId="8" xfId="0" applyFont="1" applyBorder="1" applyAlignment="1">
      <alignment horizontal="left" vertical="top" wrapText="1"/>
    </xf>
    <xf numFmtId="0" fontId="3" fillId="0" borderId="9" xfId="0" applyFont="1" applyBorder="1"/>
    <xf numFmtId="0" fontId="3" fillId="0" borderId="10" xfId="0" applyFont="1" applyBorder="1"/>
    <xf numFmtId="0" fontId="1" fillId="4" borderId="11" xfId="0" applyFont="1" applyFill="1" applyBorder="1" applyAlignment="1">
      <alignment horizontal="center"/>
    </xf>
    <xf numFmtId="0" fontId="3" fillId="0" borderId="12" xfId="0" applyFont="1" applyBorder="1"/>
    <xf numFmtId="0" fontId="3" fillId="0" borderId="13" xfId="0" applyFont="1" applyBorder="1"/>
    <xf numFmtId="0" fontId="1" fillId="4" borderId="11" xfId="0" applyFont="1" applyFill="1" applyBorder="1" applyAlignment="1">
      <alignment horizontal="center" vertical="center" wrapText="1"/>
    </xf>
    <xf numFmtId="0" fontId="1" fillId="4" borderId="3" xfId="0" applyFont="1" applyFill="1" applyBorder="1" applyAlignment="1">
      <alignment horizontal="center"/>
    </xf>
    <xf numFmtId="0" fontId="3" fillId="0" borderId="23" xfId="0" applyFont="1" applyBorder="1"/>
    <xf numFmtId="0" fontId="2" fillId="0" borderId="3" xfId="0" applyFont="1" applyBorder="1" applyAlignment="1">
      <alignment horizontal="left" vertical="center"/>
    </xf>
    <xf numFmtId="0" fontId="15" fillId="0" borderId="3" xfId="0" applyFont="1" applyBorder="1" applyAlignment="1">
      <alignment horizontal="left" vertical="center"/>
    </xf>
    <xf numFmtId="0" fontId="15" fillId="0" borderId="23" xfId="0" applyFont="1" applyBorder="1"/>
    <xf numFmtId="0" fontId="15" fillId="0" borderId="4" xfId="0" applyFont="1" applyBorder="1"/>
    <xf numFmtId="0" fontId="1" fillId="4" borderId="3" xfId="0" applyFont="1" applyFill="1" applyBorder="1" applyAlignment="1">
      <alignment horizontal="center" vertical="top" wrapText="1"/>
    </xf>
    <xf numFmtId="0" fontId="2" fillId="2" borderId="3" xfId="0" applyFont="1" applyFill="1" applyBorder="1" applyAlignment="1">
      <alignment horizontal="left" vertical="top" wrapText="1"/>
    </xf>
    <xf numFmtId="0" fontId="2" fillId="2" borderId="45" xfId="0" applyFont="1" applyFill="1" applyBorder="1" applyAlignment="1">
      <alignment horizontal="left" vertical="center"/>
    </xf>
    <xf numFmtId="0" fontId="3" fillId="0" borderId="46" xfId="0" applyFont="1" applyBorder="1"/>
    <xf numFmtId="0" fontId="3" fillId="0" borderId="52" xfId="0" applyFont="1" applyBorder="1"/>
    <xf numFmtId="0" fontId="1" fillId="4" borderId="44" xfId="0" applyFont="1" applyFill="1" applyBorder="1" applyAlignment="1">
      <alignment horizontal="center"/>
    </xf>
    <xf numFmtId="0" fontId="3" fillId="0" borderId="47" xfId="0" applyFont="1" applyBorder="1"/>
    <xf numFmtId="0" fontId="3" fillId="0" borderId="16" xfId="0" applyFont="1" applyBorder="1"/>
    <xf numFmtId="0" fontId="2" fillId="2" borderId="3" xfId="0" applyFont="1" applyFill="1" applyBorder="1" applyAlignment="1">
      <alignment horizontal="center" vertical="center" wrapText="1"/>
    </xf>
    <xf numFmtId="0" fontId="6" fillId="7" borderId="3" xfId="0" applyFont="1" applyFill="1" applyBorder="1" applyAlignment="1">
      <alignment horizontal="left" vertical="center" wrapText="1"/>
    </xf>
    <xf numFmtId="0" fontId="15" fillId="2" borderId="54" xfId="0" applyFont="1" applyFill="1" applyBorder="1" applyAlignment="1">
      <alignment horizontal="left"/>
    </xf>
    <xf numFmtId="0" fontId="15" fillId="2" borderId="55" xfId="0" applyFont="1" applyFill="1" applyBorder="1" applyAlignment="1">
      <alignment horizontal="left"/>
    </xf>
    <xf numFmtId="0" fontId="15" fillId="2" borderId="56" xfId="0" applyFont="1" applyFill="1" applyBorder="1" applyAlignment="1">
      <alignment horizontal="left"/>
    </xf>
    <xf numFmtId="0" fontId="15" fillId="2" borderId="57" xfId="0" applyFont="1" applyFill="1" applyBorder="1" applyAlignment="1">
      <alignment horizontal="left"/>
    </xf>
    <xf numFmtId="0" fontId="15" fillId="2" borderId="58" xfId="0" applyFont="1" applyFill="1" applyBorder="1" applyAlignment="1">
      <alignment horizontal="left"/>
    </xf>
    <xf numFmtId="0" fontId="15" fillId="2" borderId="59" xfId="0" applyFont="1" applyFill="1" applyBorder="1" applyAlignment="1">
      <alignment horizontal="left"/>
    </xf>
    <xf numFmtId="0" fontId="15" fillId="2" borderId="51" xfId="0" applyFont="1" applyFill="1" applyBorder="1" applyAlignment="1">
      <alignment horizontal="left" vertical="top"/>
    </xf>
    <xf numFmtId="0" fontId="1" fillId="4" borderId="3" xfId="0" applyFont="1" applyFill="1" applyBorder="1" applyAlignment="1">
      <alignment horizontal="center" wrapText="1"/>
    </xf>
    <xf numFmtId="0" fontId="1" fillId="4" borderId="3" xfId="0" applyFont="1" applyFill="1" applyBorder="1" applyAlignment="1">
      <alignment horizontal="left"/>
    </xf>
    <xf numFmtId="0" fontId="6" fillId="2" borderId="3" xfId="0" applyFont="1" applyFill="1" applyBorder="1" applyAlignment="1">
      <alignment horizontal="center" vertical="center"/>
    </xf>
    <xf numFmtId="0" fontId="8" fillId="6" borderId="3" xfId="0" applyFont="1" applyFill="1" applyBorder="1" applyAlignment="1">
      <alignment horizontal="center"/>
    </xf>
    <xf numFmtId="0" fontId="9" fillId="8" borderId="3"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4" fillId="3" borderId="40" xfId="0" applyFont="1" applyFill="1" applyBorder="1" applyAlignment="1" applyProtection="1">
      <alignment horizontal="center" vertical="center" wrapText="1"/>
      <protection locked="0"/>
    </xf>
    <xf numFmtId="0" fontId="3" fillId="0" borderId="49" xfId="0" applyFont="1" applyBorder="1" applyProtection="1">
      <protection locked="0"/>
    </xf>
    <xf numFmtId="0" fontId="3" fillId="0" borderId="50" xfId="0" applyFont="1" applyBorder="1" applyProtection="1">
      <protection locked="0"/>
    </xf>
    <xf numFmtId="0" fontId="1" fillId="9" borderId="41" xfId="0" applyFont="1" applyFill="1" applyBorder="1" applyAlignment="1" applyProtection="1">
      <alignment horizontal="center" vertical="center" wrapText="1"/>
      <protection locked="0"/>
    </xf>
    <xf numFmtId="0" fontId="3" fillId="0" borderId="42" xfId="0" applyFont="1" applyBorder="1" applyProtection="1">
      <protection locked="0"/>
    </xf>
    <xf numFmtId="0" fontId="3" fillId="0" borderId="43" xfId="0" applyFont="1" applyBorder="1" applyProtection="1">
      <protection locked="0"/>
    </xf>
    <xf numFmtId="0" fontId="6" fillId="9" borderId="41" xfId="0" applyFont="1" applyFill="1" applyBorder="1" applyAlignment="1" applyProtection="1">
      <alignment horizontal="center" vertical="center" wrapText="1"/>
      <protection locked="0"/>
    </xf>
    <xf numFmtId="0" fontId="21" fillId="9" borderId="53" xfId="0" applyFont="1" applyFill="1" applyBorder="1" applyAlignment="1" applyProtection="1">
      <alignment horizontal="left" vertical="top" wrapText="1"/>
      <protection locked="0"/>
    </xf>
    <xf numFmtId="0" fontId="22" fillId="0" borderId="51" xfId="0" applyFont="1" applyBorder="1" applyAlignment="1" applyProtection="1">
      <alignment vertical="top"/>
      <protection locked="0"/>
    </xf>
    <xf numFmtId="0" fontId="13" fillId="0" borderId="51" xfId="0" applyFont="1" applyBorder="1" applyAlignment="1" applyProtection="1">
      <alignment horizontal="center" vertical="center" wrapText="1"/>
      <protection locked="0"/>
    </xf>
    <xf numFmtId="0" fontId="12" fillId="9" borderId="41" xfId="0" applyFont="1" applyFill="1" applyBorder="1" applyAlignment="1" applyProtection="1">
      <alignment horizontal="center" vertical="top"/>
      <protection locked="0"/>
    </xf>
    <xf numFmtId="0" fontId="4" fillId="9" borderId="36" xfId="0" applyFont="1" applyFill="1" applyBorder="1" applyAlignment="1" applyProtection="1">
      <alignment horizontal="center" vertical="center"/>
      <protection locked="0"/>
    </xf>
    <xf numFmtId="0" fontId="3" fillId="0" borderId="26" xfId="0" applyFont="1" applyBorder="1" applyProtection="1">
      <protection locked="0"/>
    </xf>
    <xf numFmtId="0" fontId="3" fillId="0" borderId="24" xfId="0" applyFont="1" applyBorder="1" applyProtection="1">
      <protection locked="0"/>
    </xf>
    <xf numFmtId="0" fontId="17" fillId="9" borderId="48" xfId="0" applyFont="1" applyFill="1" applyBorder="1" applyAlignment="1" applyProtection="1">
      <alignment horizontal="left" vertical="top" wrapText="1"/>
      <protection locked="0"/>
    </xf>
    <xf numFmtId="0" fontId="22" fillId="0" borderId="39" xfId="0" applyFont="1" applyBorder="1" applyAlignment="1" applyProtection="1">
      <alignment vertical="top"/>
      <protection locked="0"/>
    </xf>
    <xf numFmtId="0" fontId="22" fillId="0" borderId="38" xfId="0" applyFont="1" applyBorder="1" applyAlignment="1" applyProtection="1">
      <alignment vertical="top"/>
      <protection locked="0"/>
    </xf>
    <xf numFmtId="0" fontId="12" fillId="9" borderId="51" xfId="0" applyFont="1" applyFill="1" applyBorder="1" applyAlignment="1" applyProtection="1">
      <alignment horizontal="center" vertical="top"/>
      <protection locked="0"/>
    </xf>
    <xf numFmtId="0" fontId="17" fillId="9" borderId="51" xfId="0" applyFont="1" applyFill="1" applyBorder="1" applyAlignment="1" applyProtection="1">
      <alignment horizontal="left" vertical="top" wrapText="1"/>
      <protection locked="0"/>
    </xf>
    <xf numFmtId="0" fontId="4" fillId="9" borderId="51" xfId="0" applyFont="1" applyFill="1" applyBorder="1" applyAlignment="1" applyProtection="1">
      <alignment horizontal="center" vertical="center"/>
      <protection locked="0"/>
    </xf>
    <xf numFmtId="0" fontId="5" fillId="7" borderId="51" xfId="0" applyFont="1" applyFill="1" applyBorder="1" applyAlignment="1" applyProtection="1">
      <alignment horizontal="left" vertical="center" wrapText="1"/>
      <protection locked="0"/>
    </xf>
  </cellXfs>
  <cellStyles count="1">
    <cellStyle name="Normal" xfId="0" builtinId="0"/>
  </cellStyles>
  <dxfs count="15">
    <dxf>
      <fill>
        <patternFill>
          <bgColor theme="5" tint="0.59996337778862885"/>
        </patternFill>
      </fill>
    </dxf>
    <dxf>
      <font>
        <color theme="1"/>
      </font>
      <fill>
        <patternFill patternType="solid">
          <fgColor auto="1"/>
          <bgColor theme="2" tint="-4.9989318521683403E-2"/>
        </patternFill>
      </fill>
      <border>
        <left style="thin">
          <color auto="1"/>
        </left>
        <right style="thin">
          <color auto="1"/>
        </right>
        <top style="thin">
          <color auto="1"/>
        </top>
        <bottom style="thin">
          <color auto="1"/>
        </bottom>
        <vertical/>
        <horizontal/>
      </border>
    </dxf>
    <dxf>
      <font>
        <color theme="1"/>
      </font>
      <fill>
        <patternFill patternType="solid">
          <fgColor rgb="FF00B050"/>
          <bgColor rgb="FF00B050"/>
        </patternFill>
      </fill>
    </dxf>
    <dxf>
      <fill>
        <patternFill patternType="solid">
          <fgColor rgb="FFFFC000"/>
          <bgColor rgb="FFFFC000"/>
        </patternFill>
      </fill>
    </dxf>
    <dxf>
      <font>
        <color theme="1"/>
      </font>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ont>
        <color theme="1"/>
      </font>
      <fill>
        <patternFill patternType="solid">
          <fgColor rgb="FF00B050"/>
          <bgColor rgb="FF00B050"/>
        </patternFill>
      </fill>
    </dxf>
    <dxf>
      <fill>
        <patternFill patternType="solid">
          <fgColor rgb="FFFFC000"/>
          <bgColor rgb="FFFFC000"/>
        </patternFill>
      </fill>
    </dxf>
    <dxf>
      <fill>
        <patternFill patternType="none"/>
      </fill>
    </dxf>
    <dxf>
      <font>
        <color theme="1"/>
      </font>
      <fill>
        <patternFill patternType="solid">
          <fgColor rgb="FF00B050"/>
          <bgColor rgb="FF00B05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workbookViewId="0">
      <selection activeCell="B20" sqref="B20"/>
    </sheetView>
  </sheetViews>
  <sheetFormatPr defaultColWidth="14.42578125" defaultRowHeight="15" customHeight="1"/>
  <cols>
    <col min="1" max="1" width="9.140625" customWidth="1"/>
    <col min="2" max="2" width="143.42578125" customWidth="1"/>
    <col min="3" max="26" width="9.140625" customWidth="1"/>
  </cols>
  <sheetData>
    <row r="1" spans="1:26" ht="14.25" customHeight="1">
      <c r="A1" s="1" t="s">
        <v>0</v>
      </c>
      <c r="B1" s="2" t="s">
        <v>1</v>
      </c>
      <c r="C1" s="3"/>
      <c r="D1" s="3"/>
      <c r="E1" s="3"/>
      <c r="F1" s="3"/>
      <c r="G1" s="3"/>
      <c r="H1" s="3"/>
      <c r="I1" s="3"/>
      <c r="J1" s="3"/>
      <c r="K1" s="3"/>
      <c r="L1" s="3"/>
      <c r="M1" s="3"/>
      <c r="N1" s="3"/>
      <c r="O1" s="3"/>
      <c r="P1" s="3"/>
      <c r="Q1" s="3"/>
      <c r="R1" s="3"/>
      <c r="S1" s="3"/>
      <c r="T1" s="3"/>
      <c r="U1" s="3"/>
      <c r="V1" s="3"/>
      <c r="W1" s="3"/>
      <c r="X1" s="3"/>
      <c r="Y1" s="3"/>
      <c r="Z1" s="3"/>
    </row>
    <row r="2" spans="1:26" ht="14.25" customHeight="1">
      <c r="A2" s="4">
        <v>1</v>
      </c>
      <c r="B2" s="5" t="s">
        <v>2</v>
      </c>
      <c r="C2" s="3"/>
      <c r="D2" s="3"/>
      <c r="E2" s="3"/>
      <c r="F2" s="3"/>
      <c r="G2" s="3"/>
      <c r="H2" s="3"/>
      <c r="I2" s="3"/>
      <c r="J2" s="3"/>
      <c r="K2" s="3"/>
      <c r="L2" s="3"/>
      <c r="M2" s="3"/>
      <c r="N2" s="3"/>
      <c r="O2" s="3"/>
      <c r="P2" s="3"/>
      <c r="Q2" s="3"/>
      <c r="R2" s="3"/>
      <c r="S2" s="3"/>
      <c r="T2" s="3"/>
      <c r="U2" s="3"/>
      <c r="V2" s="3"/>
      <c r="W2" s="3"/>
      <c r="X2" s="3"/>
      <c r="Y2" s="3"/>
      <c r="Z2" s="3"/>
    </row>
    <row r="3" spans="1:26" ht="14.25" customHeight="1">
      <c r="A3" s="4">
        <v>2</v>
      </c>
      <c r="B3" s="5" t="s">
        <v>3</v>
      </c>
      <c r="C3" s="3"/>
      <c r="D3" s="3"/>
      <c r="E3" s="3"/>
      <c r="F3" s="3"/>
      <c r="G3" s="3"/>
      <c r="H3" s="3"/>
      <c r="I3" s="3"/>
      <c r="J3" s="3"/>
      <c r="K3" s="3"/>
      <c r="L3" s="3"/>
      <c r="M3" s="3"/>
      <c r="N3" s="3"/>
      <c r="O3" s="3"/>
      <c r="P3" s="3"/>
      <c r="Q3" s="3"/>
      <c r="R3" s="3"/>
      <c r="S3" s="3"/>
      <c r="T3" s="3"/>
      <c r="U3" s="3"/>
      <c r="V3" s="3"/>
      <c r="W3" s="3"/>
      <c r="X3" s="3"/>
      <c r="Y3" s="3"/>
      <c r="Z3" s="3"/>
    </row>
    <row r="4" spans="1:26" ht="14.25" customHeight="1">
      <c r="A4" s="4">
        <v>3</v>
      </c>
      <c r="B4" s="5" t="s">
        <v>4</v>
      </c>
      <c r="C4" s="3"/>
      <c r="D4" s="3"/>
      <c r="E4" s="3"/>
      <c r="F4" s="3"/>
      <c r="G4" s="3"/>
      <c r="H4" s="3"/>
      <c r="I4" s="3"/>
      <c r="J4" s="3"/>
      <c r="K4" s="3"/>
      <c r="L4" s="3"/>
      <c r="M4" s="3"/>
      <c r="N4" s="3"/>
      <c r="O4" s="3"/>
      <c r="P4" s="3"/>
      <c r="Q4" s="3"/>
      <c r="R4" s="3"/>
      <c r="S4" s="3"/>
      <c r="T4" s="3"/>
      <c r="U4" s="3"/>
      <c r="V4" s="3"/>
      <c r="W4" s="3"/>
      <c r="X4" s="3"/>
      <c r="Y4" s="3"/>
      <c r="Z4" s="3"/>
    </row>
    <row r="5" spans="1:26" ht="14.25" customHeight="1">
      <c r="A5" s="4">
        <v>4</v>
      </c>
      <c r="B5" s="5" t="s">
        <v>5</v>
      </c>
      <c r="C5" s="3"/>
      <c r="D5" s="3"/>
      <c r="E5" s="3"/>
      <c r="F5" s="3"/>
      <c r="G5" s="3"/>
      <c r="H5" s="3"/>
      <c r="I5" s="3"/>
      <c r="J5" s="3"/>
      <c r="K5" s="3"/>
      <c r="L5" s="3"/>
      <c r="M5" s="3"/>
      <c r="N5" s="3"/>
      <c r="O5" s="3"/>
      <c r="P5" s="3"/>
      <c r="Q5" s="3"/>
      <c r="R5" s="3"/>
      <c r="S5" s="3"/>
      <c r="T5" s="3"/>
      <c r="U5" s="3"/>
      <c r="V5" s="3"/>
      <c r="W5" s="3"/>
      <c r="X5" s="3"/>
      <c r="Y5" s="3"/>
      <c r="Z5" s="3"/>
    </row>
    <row r="6" spans="1:26" ht="14.25" customHeight="1">
      <c r="A6" s="4">
        <v>5</v>
      </c>
      <c r="B6" s="5" t="s">
        <v>6</v>
      </c>
      <c r="C6" s="3"/>
      <c r="D6" s="3"/>
      <c r="E6" s="3"/>
      <c r="F6" s="3"/>
      <c r="G6" s="3"/>
      <c r="H6" s="3"/>
      <c r="I6" s="3"/>
      <c r="J6" s="3"/>
      <c r="K6" s="3"/>
      <c r="L6" s="3"/>
      <c r="M6" s="3"/>
      <c r="N6" s="3"/>
      <c r="O6" s="3"/>
      <c r="P6" s="3"/>
      <c r="Q6" s="3"/>
      <c r="R6" s="3"/>
      <c r="S6" s="3"/>
      <c r="T6" s="3"/>
      <c r="U6" s="3"/>
      <c r="V6" s="3"/>
      <c r="W6" s="3"/>
      <c r="X6" s="3"/>
      <c r="Y6" s="3"/>
      <c r="Z6" s="3"/>
    </row>
    <row r="7" spans="1:26" ht="14.25" customHeight="1">
      <c r="A7" s="4">
        <v>6</v>
      </c>
      <c r="B7" s="5" t="s">
        <v>7</v>
      </c>
      <c r="C7" s="3"/>
      <c r="D7" s="3"/>
      <c r="E7" s="3"/>
      <c r="F7" s="3"/>
      <c r="G7" s="3"/>
      <c r="H7" s="3"/>
      <c r="I7" s="3"/>
      <c r="J7" s="3"/>
      <c r="K7" s="3"/>
      <c r="L7" s="3"/>
      <c r="M7" s="3"/>
      <c r="N7" s="3"/>
      <c r="O7" s="3"/>
      <c r="P7" s="3"/>
      <c r="Q7" s="3"/>
      <c r="R7" s="3"/>
      <c r="S7" s="3"/>
      <c r="T7" s="3"/>
      <c r="U7" s="3"/>
      <c r="V7" s="3"/>
      <c r="W7" s="3"/>
      <c r="X7" s="3"/>
      <c r="Y7" s="3"/>
      <c r="Z7" s="3"/>
    </row>
    <row r="8" spans="1:26" ht="14.25" customHeight="1">
      <c r="A8" s="131"/>
      <c r="B8" s="132"/>
      <c r="C8" s="3"/>
      <c r="D8" s="3"/>
      <c r="E8" s="3"/>
      <c r="F8" s="3"/>
      <c r="G8" s="3"/>
      <c r="H8" s="3"/>
      <c r="I8" s="3"/>
      <c r="J8" s="3"/>
      <c r="K8" s="3"/>
      <c r="L8" s="3"/>
      <c r="M8" s="3"/>
      <c r="N8" s="3"/>
      <c r="O8" s="3"/>
      <c r="P8" s="3"/>
      <c r="Q8" s="3"/>
      <c r="R8" s="3"/>
      <c r="S8" s="3"/>
      <c r="T8" s="3"/>
      <c r="U8" s="3"/>
      <c r="V8" s="3"/>
      <c r="W8" s="3"/>
      <c r="X8" s="3"/>
      <c r="Y8" s="3"/>
      <c r="Z8" s="3"/>
    </row>
    <row r="9" spans="1:26" ht="14.25" customHeight="1">
      <c r="A9" s="1" t="s">
        <v>0</v>
      </c>
      <c r="B9" s="2" t="s">
        <v>8</v>
      </c>
      <c r="C9" s="3"/>
      <c r="D9" s="3"/>
      <c r="E9" s="3"/>
      <c r="F9" s="3"/>
      <c r="G9" s="3"/>
      <c r="H9" s="3"/>
      <c r="I9" s="3"/>
      <c r="J9" s="3"/>
      <c r="K9" s="3"/>
      <c r="L9" s="3"/>
      <c r="M9" s="3"/>
      <c r="N9" s="3"/>
      <c r="O9" s="3"/>
      <c r="P9" s="3"/>
      <c r="Q9" s="3"/>
      <c r="R9" s="3"/>
      <c r="S9" s="3"/>
      <c r="T9" s="3"/>
      <c r="U9" s="3"/>
      <c r="V9" s="3"/>
      <c r="W9" s="3"/>
      <c r="X9" s="3"/>
      <c r="Y9" s="3"/>
      <c r="Z9" s="3"/>
    </row>
    <row r="10" spans="1:26" ht="14.25" customHeight="1">
      <c r="A10" s="4">
        <v>1</v>
      </c>
      <c r="B10" s="5" t="s">
        <v>9</v>
      </c>
      <c r="C10" s="3"/>
      <c r="D10" s="3"/>
      <c r="E10" s="3"/>
      <c r="F10" s="3"/>
      <c r="G10" s="3"/>
      <c r="H10" s="3"/>
      <c r="I10" s="3"/>
      <c r="J10" s="3"/>
      <c r="K10" s="3"/>
      <c r="L10" s="3"/>
      <c r="M10" s="3"/>
      <c r="N10" s="3"/>
      <c r="O10" s="3"/>
      <c r="P10" s="3"/>
      <c r="Q10" s="3"/>
      <c r="R10" s="3"/>
      <c r="S10" s="3"/>
      <c r="T10" s="3"/>
      <c r="U10" s="3"/>
      <c r="V10" s="3"/>
      <c r="W10" s="3"/>
      <c r="X10" s="3"/>
      <c r="Y10" s="3"/>
      <c r="Z10" s="3"/>
    </row>
    <row r="11" spans="1:26" ht="14.25" customHeight="1">
      <c r="A11" s="4">
        <v>2</v>
      </c>
      <c r="B11" s="5" t="s">
        <v>10</v>
      </c>
      <c r="C11" s="3"/>
      <c r="D11" s="3"/>
      <c r="E11" s="3"/>
      <c r="F11" s="3"/>
      <c r="G11" s="3"/>
      <c r="H11" s="3"/>
      <c r="I11" s="3"/>
      <c r="J11" s="3"/>
      <c r="K11" s="3"/>
      <c r="L11" s="3"/>
      <c r="M11" s="3"/>
      <c r="N11" s="3"/>
      <c r="O11" s="3"/>
      <c r="P11" s="3"/>
      <c r="Q11" s="3"/>
      <c r="R11" s="3"/>
      <c r="S11" s="3"/>
      <c r="T11" s="3"/>
      <c r="U11" s="3"/>
      <c r="V11" s="3"/>
      <c r="W11" s="3"/>
      <c r="X11" s="3"/>
      <c r="Y11" s="3"/>
      <c r="Z11" s="3"/>
    </row>
    <row r="12" spans="1:26" ht="14.25" customHeight="1">
      <c r="A12" s="4">
        <v>3</v>
      </c>
      <c r="B12" s="5" t="s">
        <v>11</v>
      </c>
      <c r="C12" s="3"/>
      <c r="D12" s="3"/>
      <c r="E12" s="3"/>
      <c r="F12" s="3"/>
      <c r="G12" s="3"/>
      <c r="H12" s="3"/>
      <c r="I12" s="3"/>
      <c r="J12" s="3"/>
      <c r="K12" s="3"/>
      <c r="L12" s="3"/>
      <c r="M12" s="3"/>
      <c r="N12" s="3"/>
      <c r="O12" s="3"/>
      <c r="P12" s="3"/>
      <c r="Q12" s="3"/>
      <c r="R12" s="3"/>
      <c r="S12" s="3"/>
      <c r="T12" s="3"/>
      <c r="U12" s="3"/>
      <c r="V12" s="3"/>
      <c r="W12" s="3"/>
      <c r="X12" s="3"/>
      <c r="Y12" s="3"/>
      <c r="Z12" s="3"/>
    </row>
    <row r="13" spans="1:26"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8:B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H1002"/>
  <sheetViews>
    <sheetView topLeftCell="A33" workbookViewId="0">
      <selection activeCell="D12" sqref="D12:G12"/>
    </sheetView>
  </sheetViews>
  <sheetFormatPr defaultColWidth="14.42578125" defaultRowHeight="15" customHeight="1"/>
  <cols>
    <col min="1" max="1" width="8.7109375" customWidth="1"/>
    <col min="2" max="3" width="28.7109375" customWidth="1"/>
    <col min="4" max="5" width="25.42578125" customWidth="1"/>
    <col min="6" max="6" width="28.140625" customWidth="1"/>
    <col min="7" max="7" width="25.42578125" customWidth="1"/>
    <col min="8" max="82" width="9.140625" customWidth="1"/>
    <col min="83" max="83" width="13.42578125" customWidth="1"/>
    <col min="84" max="84" width="20.42578125" customWidth="1"/>
    <col min="85" max="85" width="19.42578125" customWidth="1"/>
    <col min="86" max="86" width="20.7109375" customWidth="1"/>
  </cols>
  <sheetData>
    <row r="1" spans="1:86" ht="14.25" customHeight="1">
      <c r="A1" s="133" t="s">
        <v>12</v>
      </c>
      <c r="B1" s="134"/>
      <c r="C1" s="134"/>
      <c r="D1" s="134"/>
      <c r="E1" s="134"/>
      <c r="F1" s="134"/>
      <c r="G1" s="135"/>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spans="1:86" ht="33" customHeight="1">
      <c r="A2" s="136" t="s">
        <v>13</v>
      </c>
      <c r="B2" s="137"/>
      <c r="C2" s="137"/>
      <c r="D2" s="137"/>
      <c r="E2" s="137"/>
      <c r="F2" s="137"/>
      <c r="G2" s="138"/>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row>
    <row r="3" spans="1:86" ht="18" customHeight="1">
      <c r="A3" s="139" t="s">
        <v>14</v>
      </c>
      <c r="B3" s="140"/>
      <c r="C3" s="141"/>
      <c r="D3" s="6"/>
      <c r="E3" s="6"/>
      <c r="F3" s="6"/>
      <c r="G3" s="6"/>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row>
    <row r="4" spans="1:86" ht="18" customHeight="1">
      <c r="A4" s="7">
        <v>1</v>
      </c>
      <c r="B4" s="8" t="s">
        <v>15</v>
      </c>
      <c r="C4" s="9"/>
      <c r="D4" s="10"/>
      <c r="E4" s="10"/>
      <c r="F4" s="10"/>
      <c r="G4" s="10"/>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row>
    <row r="5" spans="1:86" ht="18" customHeight="1">
      <c r="A5" s="11">
        <v>2</v>
      </c>
      <c r="B5" s="12" t="s">
        <v>16</v>
      </c>
      <c r="C5" s="9"/>
      <c r="D5" s="10"/>
      <c r="E5" s="10"/>
      <c r="F5" s="10"/>
      <c r="G5" s="10"/>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row>
    <row r="6" spans="1:86" ht="18" customHeight="1">
      <c r="A6" s="11">
        <v>3</v>
      </c>
      <c r="B6" s="12" t="s">
        <v>17</v>
      </c>
      <c r="C6" s="9"/>
      <c r="D6" s="10"/>
      <c r="E6" s="10"/>
      <c r="F6" s="10"/>
      <c r="G6" s="10"/>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row>
    <row r="7" spans="1:86" ht="18" customHeight="1">
      <c r="A7" s="11">
        <v>4</v>
      </c>
      <c r="B7" s="12" t="s">
        <v>18</v>
      </c>
      <c r="C7" s="9"/>
      <c r="D7" s="10"/>
      <c r="E7" s="10"/>
      <c r="F7" s="10"/>
      <c r="G7" s="10"/>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ht="18" customHeight="1">
      <c r="A8" s="13">
        <v>5</v>
      </c>
      <c r="B8" s="14" t="s">
        <v>19</v>
      </c>
      <c r="C8" s="9"/>
      <c r="D8" s="10"/>
      <c r="E8" s="10"/>
      <c r="F8" s="10"/>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row>
    <row r="9" spans="1:86" ht="18" customHeight="1">
      <c r="A9" s="3"/>
      <c r="B9" s="3"/>
      <c r="C9" s="3"/>
      <c r="D9" s="3"/>
      <c r="E9" s="3"/>
      <c r="F9" s="1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row>
    <row r="10" spans="1:86" ht="19.5" customHeight="1">
      <c r="A10" s="142" t="s">
        <v>20</v>
      </c>
      <c r="B10" s="140"/>
      <c r="C10" s="140"/>
      <c r="D10" s="140"/>
      <c r="E10" s="140"/>
      <c r="F10" s="140"/>
      <c r="G10" s="141"/>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row>
    <row r="11" spans="1:86" ht="14.25" customHeight="1">
      <c r="A11" s="16" t="s">
        <v>21</v>
      </c>
      <c r="B11" s="17" t="s">
        <v>22</v>
      </c>
      <c r="C11" s="17" t="s">
        <v>23</v>
      </c>
      <c r="D11" s="17" t="s">
        <v>24</v>
      </c>
      <c r="E11" s="17" t="s">
        <v>25</v>
      </c>
      <c r="F11" s="18" t="s">
        <v>26</v>
      </c>
      <c r="G11" s="19" t="s">
        <v>27</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row>
    <row r="12" spans="1:86" ht="14.25" customHeight="1">
      <c r="A12" s="20">
        <v>1</v>
      </c>
      <c r="B12" s="12" t="s">
        <v>28</v>
      </c>
      <c r="C12" s="21"/>
      <c r="D12" s="22"/>
      <c r="E12" s="22"/>
      <c r="F12" s="23"/>
      <c r="G12" s="24"/>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spans="1:86" ht="14.25" customHeight="1">
      <c r="A13" s="20">
        <v>2</v>
      </c>
      <c r="B13" s="12" t="s">
        <v>29</v>
      </c>
      <c r="C13" s="21"/>
      <c r="D13" s="22"/>
      <c r="E13" s="22"/>
      <c r="F13" s="25"/>
      <c r="G13" s="24"/>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row>
    <row r="14" spans="1:86" ht="14.25" customHeight="1">
      <c r="A14" s="20">
        <v>3</v>
      </c>
      <c r="B14" s="12" t="s">
        <v>30</v>
      </c>
      <c r="C14" s="26"/>
      <c r="D14" s="27"/>
      <c r="E14" s="27"/>
      <c r="F14" s="28"/>
      <c r="G14" s="24"/>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row>
    <row r="15" spans="1:86" ht="14.25" customHeight="1">
      <c r="A15" s="20">
        <v>4</v>
      </c>
      <c r="B15" s="12" t="s">
        <v>31</v>
      </c>
      <c r="C15" s="26"/>
      <c r="D15" s="27"/>
      <c r="E15" s="27"/>
      <c r="F15" s="28"/>
      <c r="G15" s="24"/>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row>
    <row r="16" spans="1:86" ht="14.25" customHeight="1">
      <c r="A16" s="3"/>
      <c r="B16" s="3"/>
      <c r="C16" s="3"/>
      <c r="D16" s="3"/>
      <c r="E16" s="3"/>
      <c r="F16" s="15"/>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row>
    <row r="17" spans="1:86" ht="14.25" customHeight="1">
      <c r="A17" s="143" t="s">
        <v>32</v>
      </c>
      <c r="B17" s="144"/>
      <c r="C17" s="144"/>
      <c r="D17" s="144"/>
      <c r="E17" s="144"/>
      <c r="F17" s="144"/>
      <c r="G17" s="132"/>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row>
    <row r="18" spans="1:86" ht="14.25" customHeight="1">
      <c r="A18" s="29"/>
      <c r="B18" s="143" t="s">
        <v>33</v>
      </c>
      <c r="C18" s="144"/>
      <c r="D18" s="144"/>
      <c r="E18" s="132"/>
      <c r="F18" s="30" t="s">
        <v>34</v>
      </c>
      <c r="G18" s="31" t="s">
        <v>35</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spans="1:86" ht="19.5" customHeight="1">
      <c r="A19" s="32" t="s">
        <v>36</v>
      </c>
      <c r="B19" s="145" t="s">
        <v>37</v>
      </c>
      <c r="C19" s="144"/>
      <c r="D19" s="144"/>
      <c r="E19" s="132"/>
      <c r="F19" s="32"/>
      <c r="G19" s="3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row>
    <row r="20" spans="1:86" ht="19.5" customHeight="1">
      <c r="A20" s="32" t="s">
        <v>38</v>
      </c>
      <c r="B20" s="145" t="s">
        <v>39</v>
      </c>
      <c r="C20" s="144"/>
      <c r="D20" s="144"/>
      <c r="E20" s="132"/>
      <c r="F20" s="32"/>
      <c r="G20" s="3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4" t="s">
        <v>40</v>
      </c>
      <c r="CG20" s="34" t="s">
        <v>41</v>
      </c>
      <c r="CH20" s="3" t="s">
        <v>42</v>
      </c>
    </row>
    <row r="21" spans="1:86" ht="19.5" customHeight="1">
      <c r="A21" s="32" t="s">
        <v>43</v>
      </c>
      <c r="B21" s="145" t="s">
        <v>44</v>
      </c>
      <c r="C21" s="144"/>
      <c r="D21" s="144"/>
      <c r="E21" s="132"/>
      <c r="F21" s="32"/>
      <c r="G21" s="3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t="s">
        <v>41</v>
      </c>
      <c r="CG21" s="3" t="s">
        <v>40</v>
      </c>
      <c r="CH21" s="3" t="s">
        <v>42</v>
      </c>
    </row>
    <row r="22" spans="1:86" ht="19.5" customHeight="1">
      <c r="A22" s="32" t="s">
        <v>45</v>
      </c>
      <c r="B22" s="146" t="s">
        <v>46</v>
      </c>
      <c r="C22" s="147"/>
      <c r="D22" s="147"/>
      <c r="E22" s="148"/>
      <c r="F22" s="32"/>
      <c r="G22" s="3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row>
    <row r="23" spans="1:86" ht="19.5" customHeight="1">
      <c r="A23" s="32" t="s">
        <v>47</v>
      </c>
      <c r="B23" s="145" t="s">
        <v>48</v>
      </c>
      <c r="C23" s="144"/>
      <c r="D23" s="144"/>
      <c r="E23" s="132"/>
      <c r="F23" s="32"/>
      <c r="G23" s="3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row>
    <row r="24" spans="1:86" ht="19.5" customHeight="1">
      <c r="A24" s="32" t="s">
        <v>49</v>
      </c>
      <c r="B24" s="146" t="s">
        <v>50</v>
      </c>
      <c r="C24" s="147"/>
      <c r="D24" s="147"/>
      <c r="E24" s="148"/>
      <c r="F24" s="32"/>
      <c r="G24" s="3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spans="1:86" ht="19.5" customHeight="1">
      <c r="A25" s="32" t="s">
        <v>51</v>
      </c>
      <c r="B25" s="145" t="s">
        <v>52</v>
      </c>
      <c r="C25" s="144"/>
      <c r="D25" s="144"/>
      <c r="E25" s="132"/>
      <c r="F25" s="32"/>
      <c r="G25" s="3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row>
    <row r="26" spans="1:86" ht="19.5" customHeight="1">
      <c r="A26" s="32" t="s">
        <v>53</v>
      </c>
      <c r="B26" s="145" t="s">
        <v>54</v>
      </c>
      <c r="C26" s="144"/>
      <c r="D26" s="144"/>
      <c r="E26" s="132"/>
      <c r="F26" s="32"/>
      <c r="G26" s="3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row>
    <row r="27" spans="1:86" ht="19.5" customHeight="1">
      <c r="A27" s="32" t="s">
        <v>55</v>
      </c>
      <c r="B27" s="145" t="s">
        <v>56</v>
      </c>
      <c r="C27" s="144"/>
      <c r="D27" s="144"/>
      <c r="E27" s="132"/>
      <c r="F27" s="35"/>
      <c r="G27" s="3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row>
    <row r="28" spans="1:86" ht="19.5" customHeight="1">
      <c r="A28" s="32" t="s">
        <v>57</v>
      </c>
      <c r="B28" s="145" t="s">
        <v>58</v>
      </c>
      <c r="C28" s="144"/>
      <c r="D28" s="144"/>
      <c r="E28" s="132"/>
      <c r="F28" s="35"/>
      <c r="G28" s="3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row>
    <row r="29" spans="1:86" ht="19.5" customHeight="1">
      <c r="A29" s="32" t="s">
        <v>59</v>
      </c>
      <c r="B29" s="145" t="s">
        <v>60</v>
      </c>
      <c r="C29" s="144"/>
      <c r="D29" s="144"/>
      <c r="E29" s="132"/>
      <c r="F29" s="24"/>
      <c r="G29" s="3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row>
    <row r="30" spans="1:86" ht="19.5" customHeight="1">
      <c r="A30" s="32" t="s">
        <v>61</v>
      </c>
      <c r="B30" s="145" t="s">
        <v>62</v>
      </c>
      <c r="C30" s="144"/>
      <c r="D30" s="144"/>
      <c r="E30" s="132"/>
      <c r="F30" s="24"/>
      <c r="G30" s="3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spans="1:86" ht="19.5" customHeight="1">
      <c r="A31" s="32" t="s">
        <v>63</v>
      </c>
      <c r="B31" s="145" t="s">
        <v>64</v>
      </c>
      <c r="C31" s="144"/>
      <c r="D31" s="144"/>
      <c r="E31" s="132"/>
      <c r="F31" s="24"/>
      <c r="G31" s="3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row>
    <row r="32" spans="1:86" ht="19.5" customHeight="1">
      <c r="A32" s="32" t="s">
        <v>65</v>
      </c>
      <c r="B32" s="146" t="s">
        <v>191</v>
      </c>
      <c r="C32" s="147"/>
      <c r="D32" s="147"/>
      <c r="E32" s="148"/>
      <c r="F32" s="35"/>
      <c r="G32" s="3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row>
    <row r="33" spans="1:86" ht="19.5" customHeight="1">
      <c r="A33" s="32" t="s">
        <v>66</v>
      </c>
      <c r="B33" s="145" t="s">
        <v>67</v>
      </c>
      <c r="C33" s="144"/>
      <c r="D33" s="144"/>
      <c r="E33" s="132"/>
      <c r="F33" s="32"/>
      <c r="G33" s="36"/>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row>
    <row r="34" spans="1:86" ht="19.5" customHeight="1">
      <c r="A34" s="32" t="s">
        <v>68</v>
      </c>
      <c r="B34" s="145" t="s">
        <v>69</v>
      </c>
      <c r="C34" s="144"/>
      <c r="D34" s="144"/>
      <c r="E34" s="132"/>
      <c r="F34" s="35"/>
      <c r="G34" s="3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row>
    <row r="35" spans="1:86" ht="19.5" customHeight="1">
      <c r="A35" s="32" t="s">
        <v>70</v>
      </c>
      <c r="B35" s="145" t="s">
        <v>71</v>
      </c>
      <c r="C35" s="144"/>
      <c r="D35" s="144"/>
      <c r="E35" s="132"/>
      <c r="F35" s="32"/>
      <c r="G35" s="3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row>
    <row r="36" spans="1:86" ht="20.25" customHeight="1">
      <c r="A36" s="106" t="s">
        <v>72</v>
      </c>
      <c r="B36" s="151" t="s">
        <v>73</v>
      </c>
      <c r="C36" s="152"/>
      <c r="D36" s="152"/>
      <c r="E36" s="153"/>
      <c r="F36" s="106"/>
      <c r="G36" s="107"/>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row>
    <row r="37" spans="1:86" ht="17.25" customHeight="1">
      <c r="A37" s="32" t="s">
        <v>219</v>
      </c>
      <c r="B37" s="159" t="s">
        <v>222</v>
      </c>
      <c r="C37" s="160"/>
      <c r="D37" s="160"/>
      <c r="E37" s="161"/>
      <c r="F37" s="120"/>
      <c r="G37" s="109"/>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row>
    <row r="38" spans="1:86" ht="17.25" customHeight="1">
      <c r="A38" s="106" t="s">
        <v>220</v>
      </c>
      <c r="B38" s="162" t="s">
        <v>226</v>
      </c>
      <c r="C38" s="163"/>
      <c r="D38" s="163"/>
      <c r="E38" s="164"/>
      <c r="F38" s="119"/>
      <c r="G38" s="118"/>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row>
    <row r="39" spans="1:86" ht="19.5" customHeight="1">
      <c r="A39" s="108" t="s">
        <v>221</v>
      </c>
      <c r="B39" s="165" t="s">
        <v>225</v>
      </c>
      <c r="C39" s="165"/>
      <c r="D39" s="165"/>
      <c r="E39" s="165"/>
      <c r="F39" s="108"/>
      <c r="G39" s="110"/>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row>
    <row r="40" spans="1:86" ht="14.25" customHeight="1">
      <c r="A40" s="154" t="s">
        <v>74</v>
      </c>
      <c r="B40" s="155"/>
      <c r="C40" s="155"/>
      <c r="D40" s="155"/>
      <c r="E40" s="155"/>
      <c r="F40" s="155"/>
      <c r="G40" s="156"/>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row>
    <row r="41" spans="1:86" ht="36" customHeight="1">
      <c r="A41" s="157" t="s">
        <v>75</v>
      </c>
      <c r="B41" s="144"/>
      <c r="C41" s="144"/>
      <c r="D41" s="144"/>
      <c r="E41" s="144"/>
      <c r="F41" s="144"/>
      <c r="G41" s="132"/>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row>
    <row r="42" spans="1:86" ht="14.25" customHeight="1">
      <c r="A42" s="10"/>
      <c r="B42" s="10"/>
      <c r="C42" s="10"/>
      <c r="D42" s="10"/>
      <c r="E42" s="10"/>
      <c r="F42" s="10"/>
      <c r="G42" s="10"/>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row>
    <row r="43" spans="1:86" ht="14.25" customHeight="1">
      <c r="A43" s="149" t="s">
        <v>76</v>
      </c>
      <c r="B43" s="144"/>
      <c r="C43" s="132"/>
      <c r="D43" s="37"/>
      <c r="E43" s="149" t="s">
        <v>77</v>
      </c>
      <c r="F43" s="144"/>
      <c r="G43" s="132"/>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spans="1:86" ht="30.75" customHeight="1">
      <c r="A44" s="38" t="s">
        <v>36</v>
      </c>
      <c r="B44" s="158" t="s">
        <v>78</v>
      </c>
      <c r="C44" s="132"/>
      <c r="D44" s="39"/>
      <c r="E44" s="150"/>
      <c r="F44" s="144"/>
      <c r="G44" s="132"/>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row>
    <row r="45" spans="1:86" ht="32.25" customHeight="1">
      <c r="A45" s="38" t="s">
        <v>38</v>
      </c>
      <c r="B45" s="158" t="s">
        <v>79</v>
      </c>
      <c r="C45" s="132"/>
      <c r="D45" s="39"/>
      <c r="E45" s="150"/>
      <c r="F45" s="144"/>
      <c r="G45" s="132"/>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row>
    <row r="46" spans="1:86" ht="14.25" customHeight="1">
      <c r="A46" s="3"/>
      <c r="B46" s="3"/>
      <c r="C46" s="3"/>
      <c r="D46" s="3"/>
      <c r="E46" s="3"/>
      <c r="F46" s="15"/>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row>
    <row r="47" spans="1:86" ht="33" customHeight="1">
      <c r="A47" s="166" t="s">
        <v>80</v>
      </c>
      <c r="B47" s="144"/>
      <c r="C47" s="144"/>
      <c r="D47" s="144"/>
      <c r="E47" s="144"/>
      <c r="F47" s="144"/>
      <c r="G47" s="132"/>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spans="1:86" ht="14.25" customHeight="1">
      <c r="A48" s="167" t="s">
        <v>81</v>
      </c>
      <c r="B48" s="144"/>
      <c r="C48" s="144"/>
      <c r="D48" s="144"/>
      <c r="E48" s="144"/>
      <c r="F48" s="144"/>
      <c r="G48" s="132"/>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spans="1:86" ht="33" customHeight="1">
      <c r="A49" s="38" t="s">
        <v>36</v>
      </c>
      <c r="B49" s="158" t="s">
        <v>82</v>
      </c>
      <c r="C49" s="132"/>
      <c r="D49" s="40"/>
      <c r="E49" s="150"/>
      <c r="F49" s="144"/>
      <c r="G49" s="132"/>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spans="1:86" ht="14.25" customHeight="1">
      <c r="A50" s="167" t="s">
        <v>83</v>
      </c>
      <c r="B50" s="144"/>
      <c r="C50" s="144"/>
      <c r="D50" s="144"/>
      <c r="E50" s="144"/>
      <c r="F50" s="144"/>
      <c r="G50" s="132"/>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spans="1:86" ht="33" customHeight="1">
      <c r="A51" s="38" t="s">
        <v>43</v>
      </c>
      <c r="B51" s="158" t="s">
        <v>84</v>
      </c>
      <c r="C51" s="132"/>
      <c r="D51" s="40"/>
      <c r="E51" s="168"/>
      <c r="F51" s="144"/>
      <c r="G51" s="132"/>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spans="1:86" ht="46.5" customHeight="1">
      <c r="A52" s="38" t="s">
        <v>45</v>
      </c>
      <c r="B52" s="158" t="s">
        <v>85</v>
      </c>
      <c r="C52" s="132"/>
      <c r="D52" s="40"/>
      <c r="E52" s="168"/>
      <c r="F52" s="144"/>
      <c r="G52" s="132"/>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spans="1:86" ht="14.25" customHeight="1">
      <c r="A53" s="167" t="s">
        <v>86</v>
      </c>
      <c r="B53" s="144"/>
      <c r="C53" s="144"/>
      <c r="D53" s="144"/>
      <c r="E53" s="144"/>
      <c r="F53" s="144"/>
      <c r="G53" s="132"/>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spans="1:86" ht="33" customHeight="1">
      <c r="A54" s="38" t="s">
        <v>47</v>
      </c>
      <c r="B54" s="158" t="s">
        <v>87</v>
      </c>
      <c r="C54" s="132"/>
      <c r="D54" s="40"/>
      <c r="E54" s="168"/>
      <c r="F54" s="144"/>
      <c r="G54" s="132"/>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spans="1:86" ht="33" customHeight="1">
      <c r="A55" s="38" t="s">
        <v>49</v>
      </c>
      <c r="B55" s="158" t="s">
        <v>88</v>
      </c>
      <c r="C55" s="132"/>
      <c r="D55" s="41"/>
      <c r="E55" s="169"/>
      <c r="F55" s="144"/>
      <c r="G55" s="132"/>
      <c r="H55" s="42"/>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spans="1:86" ht="14.25" customHeight="1">
      <c r="A56" s="3"/>
      <c r="B56" s="3"/>
      <c r="C56" s="3"/>
      <c r="D56" s="3"/>
      <c r="E56" s="43"/>
      <c r="F56" s="44"/>
      <c r="G56" s="4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spans="1:86" ht="14.25" customHeight="1">
      <c r="A57" s="3"/>
      <c r="B57" s="3"/>
      <c r="C57" s="3"/>
      <c r="D57" s="3"/>
      <c r="E57" s="3"/>
      <c r="F57" s="15"/>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row r="58" spans="1:86" ht="14.25" customHeight="1">
      <c r="A58" s="3"/>
      <c r="B58" s="3"/>
      <c r="C58" s="3"/>
      <c r="D58" s="3"/>
      <c r="E58" s="3"/>
      <c r="F58" s="15"/>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row>
    <row r="59" spans="1:86" ht="14.25" customHeight="1">
      <c r="A59" s="3"/>
      <c r="B59" s="3"/>
      <c r="C59" s="3"/>
      <c r="D59" s="3"/>
      <c r="E59" s="3"/>
      <c r="F59" s="15"/>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row>
    <row r="60" spans="1:86" ht="14.25" customHeight="1">
      <c r="A60" s="3"/>
      <c r="B60" s="3"/>
      <c r="C60" s="3"/>
      <c r="D60" s="3"/>
      <c r="E60" s="3"/>
      <c r="F60" s="15"/>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row>
    <row r="61" spans="1:86" ht="14.25" customHeight="1">
      <c r="A61" s="3"/>
      <c r="B61" s="3"/>
      <c r="C61" s="3"/>
      <c r="D61" s="3"/>
      <c r="E61" s="3"/>
      <c r="F61" s="15"/>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row>
    <row r="62" spans="1:86" ht="14.25" customHeight="1">
      <c r="A62" s="3"/>
      <c r="B62" s="3"/>
      <c r="C62" s="3"/>
      <c r="D62" s="3"/>
      <c r="E62" s="3"/>
      <c r="F62" s="15"/>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row>
    <row r="63" spans="1:86" ht="14.25" customHeight="1">
      <c r="A63" s="3"/>
      <c r="B63" s="3"/>
      <c r="C63" s="3"/>
      <c r="D63" s="3"/>
      <c r="E63" s="3"/>
      <c r="F63" s="15"/>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row>
    <row r="64" spans="1:86" ht="14.25" customHeight="1">
      <c r="A64" s="3"/>
      <c r="B64" s="3"/>
      <c r="C64" s="3"/>
      <c r="D64" s="3"/>
      <c r="E64" s="3"/>
      <c r="F64" s="15"/>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row>
    <row r="65" spans="1:86" ht="14.25" customHeight="1">
      <c r="A65" s="3"/>
      <c r="B65" s="3"/>
      <c r="C65" s="3"/>
      <c r="D65" s="3"/>
      <c r="E65" s="3"/>
      <c r="F65" s="15"/>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row>
    <row r="66" spans="1:86" ht="14.25" customHeight="1">
      <c r="A66" s="3"/>
      <c r="B66" s="3"/>
      <c r="C66" s="3"/>
      <c r="D66" s="3"/>
      <c r="E66" s="3"/>
      <c r="F66" s="15"/>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row>
    <row r="67" spans="1:86" ht="14.25" customHeight="1">
      <c r="A67" s="3"/>
      <c r="B67" s="3"/>
      <c r="C67" s="3"/>
      <c r="D67" s="3"/>
      <c r="E67" s="3"/>
      <c r="F67" s="15"/>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row>
    <row r="68" spans="1:86" ht="14.25" customHeight="1">
      <c r="A68" s="3"/>
      <c r="B68" s="3"/>
      <c r="C68" s="3"/>
      <c r="D68" s="3"/>
      <c r="E68" s="3"/>
      <c r="F68" s="15"/>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row>
    <row r="69" spans="1:86" ht="14.25" customHeight="1">
      <c r="A69" s="3"/>
      <c r="B69" s="3"/>
      <c r="C69" s="3"/>
      <c r="D69" s="3"/>
      <c r="E69" s="3"/>
      <c r="F69" s="15"/>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row>
    <row r="70" spans="1:86" ht="14.25" customHeight="1">
      <c r="A70" s="3"/>
      <c r="B70" s="3"/>
      <c r="C70" s="3"/>
      <c r="D70" s="3"/>
      <c r="E70" s="3"/>
      <c r="F70" s="15"/>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row>
    <row r="71" spans="1:86" ht="14.25" customHeight="1">
      <c r="A71" s="3"/>
      <c r="B71" s="3"/>
      <c r="C71" s="3"/>
      <c r="D71" s="3"/>
      <c r="E71" s="3"/>
      <c r="F71" s="15"/>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row>
    <row r="72" spans="1:86" ht="14.25" customHeight="1">
      <c r="A72" s="3"/>
      <c r="B72" s="3"/>
      <c r="C72" s="3"/>
      <c r="D72" s="3"/>
      <c r="E72" s="3"/>
      <c r="F72" s="15"/>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row>
    <row r="73" spans="1:86" ht="14.25" customHeight="1">
      <c r="A73" s="3"/>
      <c r="B73" s="3"/>
      <c r="C73" s="3"/>
      <c r="D73" s="3"/>
      <c r="E73" s="3"/>
      <c r="F73" s="15"/>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row>
    <row r="74" spans="1:86" ht="14.25" customHeight="1">
      <c r="A74" s="3"/>
      <c r="B74" s="3"/>
      <c r="C74" s="3"/>
      <c r="D74" s="3"/>
      <c r="E74" s="3"/>
      <c r="F74" s="15"/>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row>
    <row r="75" spans="1:86" ht="14.25" customHeight="1">
      <c r="A75" s="3"/>
      <c r="B75" s="3"/>
      <c r="C75" s="3"/>
      <c r="D75" s="3"/>
      <c r="E75" s="3"/>
      <c r="F75" s="15"/>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row>
    <row r="76" spans="1:86" ht="14.25" customHeight="1">
      <c r="A76" s="3"/>
      <c r="B76" s="3"/>
      <c r="C76" s="3"/>
      <c r="D76" s="3"/>
      <c r="E76" s="3"/>
      <c r="F76" s="15"/>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row>
    <row r="77" spans="1:86" ht="14.25" customHeight="1">
      <c r="A77" s="3"/>
      <c r="B77" s="3"/>
      <c r="C77" s="3"/>
      <c r="D77" s="3"/>
      <c r="E77" s="3"/>
      <c r="F77" s="15"/>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row>
    <row r="78" spans="1:86" ht="14.25" customHeight="1">
      <c r="A78" s="3"/>
      <c r="B78" s="3"/>
      <c r="C78" s="3"/>
      <c r="D78" s="3"/>
      <c r="E78" s="3"/>
      <c r="F78" s="15"/>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row>
    <row r="79" spans="1:86" ht="14.25" customHeight="1">
      <c r="A79" s="3"/>
      <c r="B79" s="3"/>
      <c r="C79" s="3"/>
      <c r="D79" s="3"/>
      <c r="E79" s="3"/>
      <c r="F79" s="15"/>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row>
    <row r="80" spans="1:86" ht="14.25" customHeight="1">
      <c r="A80" s="3"/>
      <c r="B80" s="3"/>
      <c r="C80" s="3"/>
      <c r="D80" s="3"/>
      <c r="E80" s="3"/>
      <c r="F80" s="15"/>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row>
    <row r="81" spans="1:86" ht="14.25" customHeight="1">
      <c r="A81" s="3"/>
      <c r="B81" s="3"/>
      <c r="C81" s="3"/>
      <c r="D81" s="3"/>
      <c r="E81" s="3"/>
      <c r="F81" s="15"/>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row>
    <row r="82" spans="1:86" ht="14.25" customHeight="1">
      <c r="A82" s="3"/>
      <c r="B82" s="3"/>
      <c r="C82" s="3"/>
      <c r="D82" s="3"/>
      <c r="E82" s="3"/>
      <c r="F82" s="15"/>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row>
    <row r="83" spans="1:86" ht="14.25" customHeight="1">
      <c r="A83" s="3"/>
      <c r="B83" s="3"/>
      <c r="C83" s="3"/>
      <c r="D83" s="3"/>
      <c r="E83" s="3"/>
      <c r="F83" s="15"/>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row>
    <row r="84" spans="1:86" ht="14.25" customHeight="1">
      <c r="A84" s="3"/>
      <c r="B84" s="3"/>
      <c r="C84" s="3"/>
      <c r="D84" s="3"/>
      <c r="E84" s="3"/>
      <c r="F84" s="15"/>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row>
    <row r="85" spans="1:86" ht="14.25" customHeight="1">
      <c r="A85" s="3"/>
      <c r="B85" s="3"/>
      <c r="C85" s="3"/>
      <c r="D85" s="3"/>
      <c r="E85" s="3"/>
      <c r="F85" s="15"/>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row>
    <row r="86" spans="1:86" ht="14.25" customHeight="1">
      <c r="A86" s="3"/>
      <c r="B86" s="3"/>
      <c r="C86" s="3"/>
      <c r="D86" s="3"/>
      <c r="E86" s="3"/>
      <c r="F86" s="15"/>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row>
    <row r="87" spans="1:86" ht="14.25" customHeight="1">
      <c r="A87" s="3"/>
      <c r="B87" s="3"/>
      <c r="C87" s="3"/>
      <c r="D87" s="3"/>
      <c r="E87" s="3"/>
      <c r="F87" s="15"/>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row>
    <row r="88" spans="1:86" ht="14.25" customHeight="1">
      <c r="A88" s="3"/>
      <c r="B88" s="3"/>
      <c r="C88" s="3"/>
      <c r="D88" s="3"/>
      <c r="E88" s="3"/>
      <c r="F88" s="15"/>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row>
    <row r="89" spans="1:86" ht="14.25" customHeight="1">
      <c r="A89" s="3"/>
      <c r="B89" s="3"/>
      <c r="C89" s="3"/>
      <c r="D89" s="3"/>
      <c r="E89" s="3"/>
      <c r="F89" s="15"/>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row>
    <row r="90" spans="1:86" ht="14.25" customHeight="1">
      <c r="A90" s="3"/>
      <c r="B90" s="3"/>
      <c r="C90" s="3"/>
      <c r="D90" s="3"/>
      <c r="E90" s="3"/>
      <c r="F90" s="15"/>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row>
    <row r="91" spans="1:86" ht="14.25" customHeight="1">
      <c r="A91" s="3"/>
      <c r="B91" s="3"/>
      <c r="C91" s="3"/>
      <c r="D91" s="3"/>
      <c r="E91" s="3"/>
      <c r="F91" s="15"/>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row>
    <row r="92" spans="1:86" ht="14.25" customHeight="1">
      <c r="A92" s="3"/>
      <c r="B92" s="3"/>
      <c r="C92" s="3"/>
      <c r="D92" s="3"/>
      <c r="E92" s="3"/>
      <c r="F92" s="15"/>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row>
    <row r="93" spans="1:86" ht="14.25" customHeight="1">
      <c r="A93" s="3"/>
      <c r="B93" s="3"/>
      <c r="C93" s="3"/>
      <c r="D93" s="3"/>
      <c r="E93" s="3"/>
      <c r="F93" s="15"/>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row>
    <row r="94" spans="1:86" ht="14.25" customHeight="1">
      <c r="A94" s="3"/>
      <c r="B94" s="3"/>
      <c r="C94" s="3"/>
      <c r="D94" s="3"/>
      <c r="E94" s="3"/>
      <c r="F94" s="15"/>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row>
    <row r="95" spans="1:86" ht="14.25" customHeight="1">
      <c r="A95" s="3"/>
      <c r="B95" s="3"/>
      <c r="C95" s="3"/>
      <c r="D95" s="3"/>
      <c r="E95" s="3"/>
      <c r="F95" s="15"/>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row>
    <row r="96" spans="1:86" ht="14.25" customHeight="1">
      <c r="A96" s="3"/>
      <c r="B96" s="3"/>
      <c r="C96" s="3"/>
      <c r="D96" s="3"/>
      <c r="E96" s="3"/>
      <c r="F96" s="15"/>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row>
    <row r="97" spans="1:86" ht="14.25" customHeight="1">
      <c r="A97" s="3"/>
      <c r="B97" s="3"/>
      <c r="C97" s="3"/>
      <c r="D97" s="3"/>
      <c r="E97" s="3"/>
      <c r="F97" s="15"/>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row>
    <row r="98" spans="1:86" ht="14.25" customHeight="1">
      <c r="A98" s="3"/>
      <c r="B98" s="3"/>
      <c r="C98" s="3"/>
      <c r="D98" s="3"/>
      <c r="E98" s="3"/>
      <c r="F98" s="15"/>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row>
    <row r="99" spans="1:86" ht="14.25" customHeight="1">
      <c r="A99" s="3"/>
      <c r="B99" s="3"/>
      <c r="C99" s="3"/>
      <c r="D99" s="3"/>
      <c r="E99" s="3"/>
      <c r="F99" s="15"/>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row>
    <row r="100" spans="1:86" ht="14.25" customHeight="1">
      <c r="A100" s="3"/>
      <c r="B100" s="3"/>
      <c r="C100" s="3"/>
      <c r="D100" s="3"/>
      <c r="E100" s="3"/>
      <c r="F100" s="15"/>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row>
    <row r="101" spans="1:86" ht="14.25" customHeight="1">
      <c r="A101" s="3"/>
      <c r="B101" s="3"/>
      <c r="C101" s="3"/>
      <c r="D101" s="3"/>
      <c r="E101" s="3"/>
      <c r="F101" s="15"/>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row>
    <row r="102" spans="1:86" ht="14.25" customHeight="1">
      <c r="A102" s="3"/>
      <c r="B102" s="3"/>
      <c r="C102" s="3"/>
      <c r="D102" s="3"/>
      <c r="E102" s="3"/>
      <c r="F102" s="15"/>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row>
    <row r="103" spans="1:86" ht="14.25" customHeight="1">
      <c r="A103" s="3"/>
      <c r="B103" s="3"/>
      <c r="C103" s="3"/>
      <c r="D103" s="3"/>
      <c r="E103" s="3"/>
      <c r="F103" s="15"/>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row>
    <row r="104" spans="1:86" ht="14.25" customHeight="1">
      <c r="A104" s="3"/>
      <c r="B104" s="3"/>
      <c r="C104" s="3"/>
      <c r="D104" s="3"/>
      <c r="E104" s="3"/>
      <c r="F104" s="15"/>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row>
    <row r="105" spans="1:86" ht="14.25" customHeight="1">
      <c r="A105" s="3"/>
      <c r="B105" s="3"/>
      <c r="C105" s="3"/>
      <c r="D105" s="3"/>
      <c r="E105" s="3"/>
      <c r="F105" s="15"/>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row>
    <row r="106" spans="1:86" ht="14.25" customHeight="1">
      <c r="A106" s="3"/>
      <c r="B106" s="3"/>
      <c r="C106" s="3"/>
      <c r="D106" s="3"/>
      <c r="E106" s="3"/>
      <c r="F106" s="15"/>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row>
    <row r="107" spans="1:86" ht="14.25" customHeight="1">
      <c r="A107" s="3"/>
      <c r="B107" s="3"/>
      <c r="C107" s="3"/>
      <c r="D107" s="3"/>
      <c r="E107" s="3"/>
      <c r="F107" s="15"/>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row>
    <row r="108" spans="1:86" ht="14.25" customHeight="1">
      <c r="A108" s="3"/>
      <c r="B108" s="3"/>
      <c r="C108" s="3"/>
      <c r="D108" s="3"/>
      <c r="E108" s="3"/>
      <c r="F108" s="15"/>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row>
    <row r="109" spans="1:86" ht="14.25" customHeight="1">
      <c r="A109" s="3"/>
      <c r="B109" s="3"/>
      <c r="C109" s="3"/>
      <c r="D109" s="3"/>
      <c r="E109" s="3"/>
      <c r="F109" s="15"/>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row>
    <row r="110" spans="1:86" ht="14.25" customHeight="1">
      <c r="A110" s="3"/>
      <c r="B110" s="3"/>
      <c r="C110" s="3"/>
      <c r="D110" s="3"/>
      <c r="E110" s="3"/>
      <c r="F110" s="15"/>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row>
    <row r="111" spans="1:86" ht="14.25" customHeight="1">
      <c r="A111" s="3"/>
      <c r="B111" s="3"/>
      <c r="C111" s="3"/>
      <c r="D111" s="3"/>
      <c r="E111" s="3"/>
      <c r="F111" s="15"/>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row>
    <row r="112" spans="1:86" ht="14.25" customHeight="1">
      <c r="A112" s="3"/>
      <c r="B112" s="3"/>
      <c r="C112" s="3"/>
      <c r="D112" s="3"/>
      <c r="E112" s="3"/>
      <c r="F112" s="15"/>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row>
    <row r="113" spans="1:86" ht="14.25" customHeight="1">
      <c r="A113" s="3"/>
      <c r="B113" s="3"/>
      <c r="C113" s="3"/>
      <c r="D113" s="3"/>
      <c r="E113" s="3"/>
      <c r="F113" s="15"/>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row>
    <row r="114" spans="1:86" ht="14.25" customHeight="1">
      <c r="A114" s="3"/>
      <c r="B114" s="3"/>
      <c r="C114" s="3"/>
      <c r="D114" s="3"/>
      <c r="E114" s="3"/>
      <c r="F114" s="15"/>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row>
    <row r="115" spans="1:86" ht="14.25" customHeight="1">
      <c r="A115" s="3"/>
      <c r="B115" s="3"/>
      <c r="C115" s="3"/>
      <c r="D115" s="3"/>
      <c r="E115" s="3"/>
      <c r="F115" s="15"/>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row>
    <row r="116" spans="1:86" ht="14.25" customHeight="1">
      <c r="A116" s="3"/>
      <c r="B116" s="3"/>
      <c r="C116" s="3"/>
      <c r="D116" s="3"/>
      <c r="E116" s="3"/>
      <c r="F116" s="15"/>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row>
    <row r="117" spans="1:86" ht="14.25" customHeight="1">
      <c r="A117" s="3"/>
      <c r="B117" s="3"/>
      <c r="C117" s="3"/>
      <c r="D117" s="3"/>
      <c r="E117" s="3"/>
      <c r="F117" s="15"/>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row>
    <row r="118" spans="1:86" ht="14.25" customHeight="1">
      <c r="A118" s="3"/>
      <c r="B118" s="3"/>
      <c r="C118" s="3"/>
      <c r="D118" s="3"/>
      <c r="E118" s="3"/>
      <c r="F118" s="15"/>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row>
    <row r="119" spans="1:86" ht="14.25" customHeight="1">
      <c r="A119" s="3"/>
      <c r="B119" s="3"/>
      <c r="C119" s="3"/>
      <c r="D119" s="3"/>
      <c r="E119" s="3"/>
      <c r="F119" s="15"/>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row>
    <row r="120" spans="1:86" ht="14.25" customHeight="1">
      <c r="A120" s="3"/>
      <c r="B120" s="3"/>
      <c r="C120" s="3"/>
      <c r="D120" s="3"/>
      <c r="E120" s="3"/>
      <c r="F120" s="15"/>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row>
    <row r="121" spans="1:86" ht="14.25" customHeight="1">
      <c r="A121" s="3"/>
      <c r="B121" s="3"/>
      <c r="C121" s="3"/>
      <c r="D121" s="3"/>
      <c r="E121" s="3"/>
      <c r="F121" s="15"/>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row>
    <row r="122" spans="1:86" ht="14.25" customHeight="1">
      <c r="A122" s="3"/>
      <c r="B122" s="3"/>
      <c r="C122" s="3"/>
      <c r="D122" s="3"/>
      <c r="E122" s="3"/>
      <c r="F122" s="15"/>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row>
    <row r="123" spans="1:86" ht="14.25" customHeight="1">
      <c r="A123" s="3"/>
      <c r="B123" s="3"/>
      <c r="C123" s="3"/>
      <c r="D123" s="3"/>
      <c r="E123" s="3"/>
      <c r="F123" s="15"/>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row>
    <row r="124" spans="1:86" ht="14.25" customHeight="1">
      <c r="A124" s="3"/>
      <c r="B124" s="3"/>
      <c r="C124" s="3"/>
      <c r="D124" s="3"/>
      <c r="E124" s="3"/>
      <c r="F124" s="15"/>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row>
    <row r="125" spans="1:86" ht="14.25" customHeight="1">
      <c r="A125" s="3"/>
      <c r="B125" s="3"/>
      <c r="C125" s="3"/>
      <c r="D125" s="3"/>
      <c r="E125" s="3"/>
      <c r="F125" s="15"/>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row>
    <row r="126" spans="1:86" ht="14.25" customHeight="1">
      <c r="A126" s="3"/>
      <c r="B126" s="3"/>
      <c r="C126" s="3"/>
      <c r="D126" s="3"/>
      <c r="E126" s="3"/>
      <c r="F126" s="15"/>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row>
    <row r="127" spans="1:86" ht="14.25" customHeight="1">
      <c r="A127" s="3"/>
      <c r="B127" s="3"/>
      <c r="C127" s="3"/>
      <c r="D127" s="3"/>
      <c r="E127" s="3"/>
      <c r="F127" s="15"/>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row>
    <row r="128" spans="1:86" ht="14.25" customHeight="1">
      <c r="A128" s="3"/>
      <c r="B128" s="3"/>
      <c r="C128" s="3"/>
      <c r="D128" s="3"/>
      <c r="E128" s="3"/>
      <c r="F128" s="15"/>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row>
    <row r="129" spans="1:86" ht="14.25" customHeight="1">
      <c r="A129" s="3"/>
      <c r="B129" s="3"/>
      <c r="C129" s="3"/>
      <c r="D129" s="3"/>
      <c r="E129" s="3"/>
      <c r="F129" s="15"/>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row>
    <row r="130" spans="1:86" ht="14.25" customHeight="1">
      <c r="A130" s="3"/>
      <c r="B130" s="3"/>
      <c r="C130" s="3"/>
      <c r="D130" s="3"/>
      <c r="E130" s="3"/>
      <c r="F130" s="15"/>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row>
    <row r="131" spans="1:86" ht="14.25" customHeight="1">
      <c r="A131" s="3"/>
      <c r="B131" s="3"/>
      <c r="C131" s="3"/>
      <c r="D131" s="3"/>
      <c r="E131" s="3"/>
      <c r="F131" s="15"/>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row>
    <row r="132" spans="1:86" ht="14.25" customHeight="1">
      <c r="A132" s="3"/>
      <c r="B132" s="3"/>
      <c r="C132" s="3"/>
      <c r="D132" s="3"/>
      <c r="E132" s="3"/>
      <c r="F132" s="15"/>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row>
    <row r="133" spans="1:86" ht="14.25" customHeight="1">
      <c r="A133" s="3"/>
      <c r="B133" s="3"/>
      <c r="C133" s="3"/>
      <c r="D133" s="3"/>
      <c r="E133" s="3"/>
      <c r="F133" s="15"/>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row>
    <row r="134" spans="1:86" ht="14.25" customHeight="1">
      <c r="A134" s="3"/>
      <c r="B134" s="3"/>
      <c r="C134" s="3"/>
      <c r="D134" s="3"/>
      <c r="E134" s="3"/>
      <c r="F134" s="15"/>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row>
    <row r="135" spans="1:86" ht="14.25" customHeight="1">
      <c r="A135" s="3"/>
      <c r="B135" s="3"/>
      <c r="C135" s="3"/>
      <c r="D135" s="3"/>
      <c r="E135" s="3"/>
      <c r="F135" s="15"/>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row>
    <row r="136" spans="1:86" ht="14.25" customHeight="1">
      <c r="A136" s="3"/>
      <c r="B136" s="3"/>
      <c r="C136" s="3"/>
      <c r="D136" s="3"/>
      <c r="E136" s="3"/>
      <c r="F136" s="15"/>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row>
    <row r="137" spans="1:86" ht="14.25" customHeight="1">
      <c r="A137" s="3"/>
      <c r="B137" s="3"/>
      <c r="C137" s="3"/>
      <c r="D137" s="3"/>
      <c r="E137" s="3"/>
      <c r="F137" s="15"/>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row>
    <row r="138" spans="1:86" ht="14.25" customHeight="1">
      <c r="A138" s="3"/>
      <c r="B138" s="3"/>
      <c r="C138" s="3"/>
      <c r="D138" s="3"/>
      <c r="E138" s="3"/>
      <c r="F138" s="15"/>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row>
    <row r="139" spans="1:86" ht="14.25" customHeight="1">
      <c r="A139" s="3"/>
      <c r="B139" s="3"/>
      <c r="C139" s="3"/>
      <c r="D139" s="3"/>
      <c r="E139" s="3"/>
      <c r="F139" s="15"/>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row>
    <row r="140" spans="1:86" ht="14.25" customHeight="1">
      <c r="A140" s="3"/>
      <c r="B140" s="3"/>
      <c r="C140" s="3"/>
      <c r="D140" s="3"/>
      <c r="E140" s="3"/>
      <c r="F140" s="15"/>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row>
    <row r="141" spans="1:86" ht="14.25" customHeight="1">
      <c r="A141" s="3"/>
      <c r="B141" s="3"/>
      <c r="C141" s="3"/>
      <c r="D141" s="3"/>
      <c r="E141" s="3"/>
      <c r="F141" s="15"/>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row>
    <row r="142" spans="1:86" ht="14.25" customHeight="1">
      <c r="A142" s="3"/>
      <c r="B142" s="3"/>
      <c r="C142" s="3"/>
      <c r="D142" s="3"/>
      <c r="E142" s="3"/>
      <c r="F142" s="15"/>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row>
    <row r="143" spans="1:86" ht="14.25" customHeight="1">
      <c r="A143" s="3"/>
      <c r="B143" s="3"/>
      <c r="C143" s="3"/>
      <c r="D143" s="3"/>
      <c r="E143" s="3"/>
      <c r="F143" s="15"/>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row>
    <row r="144" spans="1:86" ht="14.25" customHeight="1">
      <c r="A144" s="3"/>
      <c r="B144" s="3"/>
      <c r="C144" s="3"/>
      <c r="D144" s="3"/>
      <c r="E144" s="3"/>
      <c r="F144" s="15"/>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row>
    <row r="145" spans="1:86" ht="14.25" customHeight="1">
      <c r="A145" s="3"/>
      <c r="B145" s="3"/>
      <c r="C145" s="3"/>
      <c r="D145" s="3"/>
      <c r="E145" s="3"/>
      <c r="F145" s="15"/>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row>
    <row r="146" spans="1:86" ht="14.25" customHeight="1">
      <c r="A146" s="3"/>
      <c r="B146" s="3"/>
      <c r="C146" s="3"/>
      <c r="D146" s="3"/>
      <c r="E146" s="3"/>
      <c r="F146" s="15"/>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row>
    <row r="147" spans="1:86" ht="14.25" customHeight="1">
      <c r="A147" s="3"/>
      <c r="B147" s="3"/>
      <c r="C147" s="3"/>
      <c r="D147" s="3"/>
      <c r="E147" s="3"/>
      <c r="F147" s="15"/>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row>
    <row r="148" spans="1:86" ht="14.25" customHeight="1">
      <c r="A148" s="3"/>
      <c r="B148" s="3"/>
      <c r="C148" s="3"/>
      <c r="D148" s="3"/>
      <c r="E148" s="3"/>
      <c r="F148" s="15"/>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row>
    <row r="149" spans="1:86" ht="14.25" customHeight="1">
      <c r="A149" s="3"/>
      <c r="B149" s="3"/>
      <c r="C149" s="3"/>
      <c r="D149" s="3"/>
      <c r="E149" s="3"/>
      <c r="F149" s="15"/>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row>
    <row r="150" spans="1:86" ht="14.25" customHeight="1">
      <c r="A150" s="3"/>
      <c r="B150" s="3"/>
      <c r="C150" s="3"/>
      <c r="D150" s="3"/>
      <c r="E150" s="3"/>
      <c r="F150" s="15"/>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row>
    <row r="151" spans="1:86" ht="14.25" customHeight="1">
      <c r="A151" s="3"/>
      <c r="B151" s="3"/>
      <c r="C151" s="3"/>
      <c r="D151" s="3"/>
      <c r="E151" s="3"/>
      <c r="F151" s="15"/>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row>
    <row r="152" spans="1:86" ht="14.25" customHeight="1">
      <c r="A152" s="3"/>
      <c r="B152" s="3"/>
      <c r="C152" s="3"/>
      <c r="D152" s="3"/>
      <c r="E152" s="3"/>
      <c r="F152" s="15"/>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row>
    <row r="153" spans="1:86" ht="14.25" customHeight="1">
      <c r="A153" s="3"/>
      <c r="B153" s="3"/>
      <c r="C153" s="3"/>
      <c r="D153" s="3"/>
      <c r="E153" s="3"/>
      <c r="F153" s="15"/>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row>
    <row r="154" spans="1:86" ht="14.25" customHeight="1">
      <c r="A154" s="3"/>
      <c r="B154" s="3"/>
      <c r="C154" s="3"/>
      <c r="D154" s="3"/>
      <c r="E154" s="3"/>
      <c r="F154" s="15"/>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row>
    <row r="155" spans="1:86" ht="14.25" customHeight="1">
      <c r="A155" s="3"/>
      <c r="B155" s="3"/>
      <c r="C155" s="3"/>
      <c r="D155" s="3"/>
      <c r="E155" s="3"/>
      <c r="F155" s="15"/>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row>
    <row r="156" spans="1:86" ht="14.25" customHeight="1">
      <c r="A156" s="3"/>
      <c r="B156" s="3"/>
      <c r="C156" s="3"/>
      <c r="D156" s="3"/>
      <c r="E156" s="3"/>
      <c r="F156" s="15"/>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row>
    <row r="157" spans="1:86" ht="14.25" customHeight="1">
      <c r="A157" s="3"/>
      <c r="B157" s="3"/>
      <c r="C157" s="3"/>
      <c r="D157" s="3"/>
      <c r="E157" s="3"/>
      <c r="F157" s="15"/>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row>
    <row r="158" spans="1:86" ht="14.25" customHeight="1">
      <c r="A158" s="3"/>
      <c r="B158" s="3"/>
      <c r="C158" s="3"/>
      <c r="D158" s="3"/>
      <c r="E158" s="3"/>
      <c r="F158" s="15"/>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row>
    <row r="159" spans="1:86" ht="14.25" customHeight="1">
      <c r="A159" s="3"/>
      <c r="B159" s="3"/>
      <c r="C159" s="3"/>
      <c r="D159" s="3"/>
      <c r="E159" s="3"/>
      <c r="F159" s="15"/>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row>
    <row r="160" spans="1:86" ht="14.25" customHeight="1">
      <c r="A160" s="3"/>
      <c r="B160" s="3"/>
      <c r="C160" s="3"/>
      <c r="D160" s="3"/>
      <c r="E160" s="3"/>
      <c r="F160" s="15"/>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row>
    <row r="161" spans="1:86" ht="14.25" customHeight="1">
      <c r="A161" s="3"/>
      <c r="B161" s="3"/>
      <c r="C161" s="3"/>
      <c r="D161" s="3"/>
      <c r="E161" s="3"/>
      <c r="F161" s="15"/>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row>
    <row r="162" spans="1:86" ht="14.25" customHeight="1">
      <c r="A162" s="3"/>
      <c r="B162" s="3"/>
      <c r="C162" s="3"/>
      <c r="D162" s="3"/>
      <c r="E162" s="3"/>
      <c r="F162" s="15"/>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row>
    <row r="163" spans="1:86" ht="14.25" customHeight="1">
      <c r="A163" s="3"/>
      <c r="B163" s="3"/>
      <c r="C163" s="3"/>
      <c r="D163" s="3"/>
      <c r="E163" s="3"/>
      <c r="F163" s="15"/>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row>
    <row r="164" spans="1:86" ht="14.25" customHeight="1">
      <c r="A164" s="3"/>
      <c r="B164" s="3"/>
      <c r="C164" s="3"/>
      <c r="D164" s="3"/>
      <c r="E164" s="3"/>
      <c r="F164" s="15"/>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row>
    <row r="165" spans="1:86" ht="14.25" customHeight="1">
      <c r="A165" s="3"/>
      <c r="B165" s="3"/>
      <c r="C165" s="3"/>
      <c r="D165" s="3"/>
      <c r="E165" s="3"/>
      <c r="F165" s="15"/>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row>
    <row r="166" spans="1:86" ht="14.25" customHeight="1">
      <c r="A166" s="3"/>
      <c r="B166" s="3"/>
      <c r="C166" s="3"/>
      <c r="D166" s="3"/>
      <c r="E166" s="3"/>
      <c r="F166" s="15"/>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row>
    <row r="167" spans="1:86" ht="14.25" customHeight="1">
      <c r="A167" s="3"/>
      <c r="B167" s="3"/>
      <c r="C167" s="3"/>
      <c r="D167" s="3"/>
      <c r="E167" s="3"/>
      <c r="F167" s="15"/>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row>
    <row r="168" spans="1:86" ht="14.25" customHeight="1">
      <c r="A168" s="3"/>
      <c r="B168" s="3"/>
      <c r="C168" s="3"/>
      <c r="D168" s="3"/>
      <c r="E168" s="3"/>
      <c r="F168" s="15"/>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row>
    <row r="169" spans="1:86" ht="14.25" customHeight="1">
      <c r="A169" s="3"/>
      <c r="B169" s="3"/>
      <c r="C169" s="3"/>
      <c r="D169" s="3"/>
      <c r="E169" s="3"/>
      <c r="F169" s="15"/>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row>
    <row r="170" spans="1:86" ht="14.25" customHeight="1">
      <c r="A170" s="3"/>
      <c r="B170" s="3"/>
      <c r="C170" s="3"/>
      <c r="D170" s="3"/>
      <c r="E170" s="3"/>
      <c r="F170" s="15"/>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row>
    <row r="171" spans="1:86" ht="14.25" customHeight="1">
      <c r="A171" s="3"/>
      <c r="B171" s="3"/>
      <c r="C171" s="3"/>
      <c r="D171" s="3"/>
      <c r="E171" s="3"/>
      <c r="F171" s="15"/>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row>
    <row r="172" spans="1:86" ht="14.25" customHeight="1">
      <c r="A172" s="3"/>
      <c r="B172" s="3"/>
      <c r="C172" s="3"/>
      <c r="D172" s="3"/>
      <c r="E172" s="3"/>
      <c r="F172" s="15"/>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row>
    <row r="173" spans="1:86" ht="14.25" customHeight="1">
      <c r="A173" s="3"/>
      <c r="B173" s="3"/>
      <c r="C173" s="3"/>
      <c r="D173" s="3"/>
      <c r="E173" s="3"/>
      <c r="F173" s="15"/>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row>
    <row r="174" spans="1:86" ht="14.25" customHeight="1">
      <c r="A174" s="3"/>
      <c r="B174" s="3"/>
      <c r="C174" s="3"/>
      <c r="D174" s="3"/>
      <c r="E174" s="3"/>
      <c r="F174" s="15"/>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row>
    <row r="175" spans="1:86" ht="14.25" customHeight="1">
      <c r="A175" s="3"/>
      <c r="B175" s="3"/>
      <c r="C175" s="3"/>
      <c r="D175" s="3"/>
      <c r="E175" s="3"/>
      <c r="F175" s="15"/>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row>
    <row r="176" spans="1:86" ht="14.25" customHeight="1">
      <c r="A176" s="3"/>
      <c r="B176" s="3"/>
      <c r="C176" s="3"/>
      <c r="D176" s="3"/>
      <c r="E176" s="3"/>
      <c r="F176" s="15"/>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row>
    <row r="177" spans="1:86" ht="14.25" customHeight="1">
      <c r="A177" s="3"/>
      <c r="B177" s="3"/>
      <c r="C177" s="3"/>
      <c r="D177" s="3"/>
      <c r="E177" s="3"/>
      <c r="F177" s="15"/>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row>
    <row r="178" spans="1:86" ht="14.25" customHeight="1">
      <c r="A178" s="3"/>
      <c r="B178" s="3"/>
      <c r="C178" s="3"/>
      <c r="D178" s="3"/>
      <c r="E178" s="3"/>
      <c r="F178" s="15"/>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row>
    <row r="179" spans="1:86" ht="14.25" customHeight="1">
      <c r="A179" s="3"/>
      <c r="B179" s="3"/>
      <c r="C179" s="3"/>
      <c r="D179" s="3"/>
      <c r="E179" s="3"/>
      <c r="F179" s="15"/>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row>
    <row r="180" spans="1:86" ht="14.25" customHeight="1">
      <c r="A180" s="3"/>
      <c r="B180" s="3"/>
      <c r="C180" s="3"/>
      <c r="D180" s="3"/>
      <c r="E180" s="3"/>
      <c r="F180" s="15"/>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row>
    <row r="181" spans="1:86" ht="14.25" customHeight="1">
      <c r="A181" s="3"/>
      <c r="B181" s="3"/>
      <c r="C181" s="3"/>
      <c r="D181" s="3"/>
      <c r="E181" s="3"/>
      <c r="F181" s="15"/>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row>
    <row r="182" spans="1:86" ht="14.25" customHeight="1">
      <c r="A182" s="3"/>
      <c r="B182" s="3"/>
      <c r="C182" s="3"/>
      <c r="D182" s="3"/>
      <c r="E182" s="3"/>
      <c r="F182" s="15"/>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row>
    <row r="183" spans="1:86" ht="14.25" customHeight="1">
      <c r="A183" s="3"/>
      <c r="B183" s="3"/>
      <c r="C183" s="3"/>
      <c r="D183" s="3"/>
      <c r="E183" s="3"/>
      <c r="F183" s="15"/>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row>
    <row r="184" spans="1:86" ht="14.25" customHeight="1">
      <c r="A184" s="3"/>
      <c r="B184" s="3"/>
      <c r="C184" s="3"/>
      <c r="D184" s="3"/>
      <c r="E184" s="3"/>
      <c r="F184" s="15"/>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row>
    <row r="185" spans="1:86" ht="14.25" customHeight="1">
      <c r="A185" s="3"/>
      <c r="B185" s="3"/>
      <c r="C185" s="3"/>
      <c r="D185" s="3"/>
      <c r="E185" s="3"/>
      <c r="F185" s="15"/>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row>
    <row r="186" spans="1:86" ht="14.25" customHeight="1">
      <c r="A186" s="3"/>
      <c r="B186" s="3"/>
      <c r="C186" s="3"/>
      <c r="D186" s="3"/>
      <c r="E186" s="3"/>
      <c r="F186" s="15"/>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row>
    <row r="187" spans="1:86" ht="14.25" customHeight="1">
      <c r="A187" s="3"/>
      <c r="B187" s="3"/>
      <c r="C187" s="3"/>
      <c r="D187" s="3"/>
      <c r="E187" s="3"/>
      <c r="F187" s="15"/>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row>
    <row r="188" spans="1:86" ht="14.25" customHeight="1">
      <c r="A188" s="3"/>
      <c r="B188" s="3"/>
      <c r="C188" s="3"/>
      <c r="D188" s="3"/>
      <c r="E188" s="3"/>
      <c r="F188" s="15"/>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row>
    <row r="189" spans="1:86" ht="14.25" customHeight="1">
      <c r="A189" s="3"/>
      <c r="B189" s="3"/>
      <c r="C189" s="3"/>
      <c r="D189" s="3"/>
      <c r="E189" s="3"/>
      <c r="F189" s="15"/>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row>
    <row r="190" spans="1:86" ht="14.25" customHeight="1">
      <c r="A190" s="3"/>
      <c r="B190" s="3"/>
      <c r="C190" s="3"/>
      <c r="D190" s="3"/>
      <c r="E190" s="3"/>
      <c r="F190" s="15"/>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row>
    <row r="191" spans="1:86" ht="14.25" customHeight="1">
      <c r="A191" s="3"/>
      <c r="B191" s="3"/>
      <c r="C191" s="3"/>
      <c r="D191" s="3"/>
      <c r="E191" s="3"/>
      <c r="F191" s="15"/>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row>
    <row r="192" spans="1:86" ht="14.25" customHeight="1">
      <c r="A192" s="3"/>
      <c r="B192" s="3"/>
      <c r="C192" s="3"/>
      <c r="D192" s="3"/>
      <c r="E192" s="3"/>
      <c r="F192" s="15"/>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row>
    <row r="193" spans="1:86" ht="14.25" customHeight="1">
      <c r="A193" s="3"/>
      <c r="B193" s="3"/>
      <c r="C193" s="3"/>
      <c r="D193" s="3"/>
      <c r="E193" s="3"/>
      <c r="F193" s="15"/>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row>
    <row r="194" spans="1:86" ht="14.25" customHeight="1">
      <c r="A194" s="3"/>
      <c r="B194" s="3"/>
      <c r="C194" s="3"/>
      <c r="D194" s="3"/>
      <c r="E194" s="3"/>
      <c r="F194" s="15"/>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row>
    <row r="195" spans="1:86" ht="14.25" customHeight="1">
      <c r="A195" s="3"/>
      <c r="B195" s="3"/>
      <c r="C195" s="3"/>
      <c r="D195" s="3"/>
      <c r="E195" s="3"/>
      <c r="F195" s="15"/>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row>
    <row r="196" spans="1:86" ht="14.25" customHeight="1">
      <c r="A196" s="3"/>
      <c r="B196" s="3"/>
      <c r="C196" s="3"/>
      <c r="D196" s="3"/>
      <c r="E196" s="3"/>
      <c r="F196" s="15"/>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row>
    <row r="197" spans="1:86" ht="14.25" customHeight="1">
      <c r="A197" s="3"/>
      <c r="B197" s="3"/>
      <c r="C197" s="3"/>
      <c r="D197" s="3"/>
      <c r="E197" s="3"/>
      <c r="F197" s="15"/>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row>
    <row r="198" spans="1:86" ht="14.25" customHeight="1">
      <c r="A198" s="3"/>
      <c r="B198" s="3"/>
      <c r="C198" s="3"/>
      <c r="D198" s="3"/>
      <c r="E198" s="3"/>
      <c r="F198" s="15"/>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row>
    <row r="199" spans="1:86" ht="14.25" customHeight="1">
      <c r="A199" s="3"/>
      <c r="B199" s="3"/>
      <c r="C199" s="3"/>
      <c r="D199" s="3"/>
      <c r="E199" s="3"/>
      <c r="F199" s="15"/>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row>
    <row r="200" spans="1:86" ht="14.25" customHeight="1">
      <c r="A200" s="3"/>
      <c r="B200" s="3"/>
      <c r="C200" s="3"/>
      <c r="D200" s="3"/>
      <c r="E200" s="3"/>
      <c r="F200" s="15"/>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row>
    <row r="201" spans="1:86" ht="14.25" customHeight="1">
      <c r="A201" s="3"/>
      <c r="B201" s="3"/>
      <c r="C201" s="3"/>
      <c r="D201" s="3"/>
      <c r="E201" s="3"/>
      <c r="F201" s="15"/>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row>
    <row r="202" spans="1:86" ht="14.25" customHeight="1">
      <c r="A202" s="3"/>
      <c r="B202" s="3"/>
      <c r="C202" s="3"/>
      <c r="D202" s="3"/>
      <c r="E202" s="3"/>
      <c r="F202" s="15"/>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row>
    <row r="203" spans="1:86" ht="14.25" customHeight="1">
      <c r="A203" s="3"/>
      <c r="B203" s="3"/>
      <c r="C203" s="3"/>
      <c r="D203" s="3"/>
      <c r="E203" s="3"/>
      <c r="F203" s="15"/>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row>
    <row r="204" spans="1:86" ht="14.25" customHeight="1">
      <c r="A204" s="3"/>
      <c r="B204" s="3"/>
      <c r="C204" s="3"/>
      <c r="D204" s="3"/>
      <c r="E204" s="3"/>
      <c r="F204" s="15"/>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row>
    <row r="205" spans="1:86" ht="14.25" customHeight="1">
      <c r="A205" s="3"/>
      <c r="B205" s="3"/>
      <c r="C205" s="3"/>
      <c r="D205" s="3"/>
      <c r="E205" s="3"/>
      <c r="F205" s="15"/>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row>
    <row r="206" spans="1:86" ht="14.25" customHeight="1">
      <c r="A206" s="3"/>
      <c r="B206" s="3"/>
      <c r="C206" s="3"/>
      <c r="D206" s="3"/>
      <c r="E206" s="3"/>
      <c r="F206" s="15"/>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row>
    <row r="207" spans="1:86" ht="14.25" customHeight="1">
      <c r="A207" s="3"/>
      <c r="B207" s="3"/>
      <c r="C207" s="3"/>
      <c r="D207" s="3"/>
      <c r="E207" s="3"/>
      <c r="F207" s="15"/>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row>
    <row r="208" spans="1:86" ht="14.25" customHeight="1">
      <c r="A208" s="3"/>
      <c r="B208" s="3"/>
      <c r="C208" s="3"/>
      <c r="D208" s="3"/>
      <c r="E208" s="3"/>
      <c r="F208" s="15"/>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row>
    <row r="209" spans="1:86" ht="14.25" customHeight="1">
      <c r="A209" s="3"/>
      <c r="B209" s="3"/>
      <c r="C209" s="3"/>
      <c r="D209" s="3"/>
      <c r="E209" s="3"/>
      <c r="F209" s="15"/>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row>
    <row r="210" spans="1:86" ht="14.25" customHeight="1">
      <c r="A210" s="3"/>
      <c r="B210" s="3"/>
      <c r="C210" s="3"/>
      <c r="D210" s="3"/>
      <c r="E210" s="3"/>
      <c r="F210" s="15"/>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row>
    <row r="211" spans="1:86" ht="14.25" customHeight="1">
      <c r="A211" s="3"/>
      <c r="B211" s="3"/>
      <c r="C211" s="3"/>
      <c r="D211" s="3"/>
      <c r="E211" s="3"/>
      <c r="F211" s="15"/>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row>
    <row r="212" spans="1:86" ht="14.25" customHeight="1">
      <c r="A212" s="3"/>
      <c r="B212" s="3"/>
      <c r="C212" s="3"/>
      <c r="D212" s="3"/>
      <c r="E212" s="3"/>
      <c r="F212" s="15"/>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row>
    <row r="213" spans="1:86" ht="14.25" customHeight="1">
      <c r="A213" s="3"/>
      <c r="B213" s="3"/>
      <c r="C213" s="3"/>
      <c r="D213" s="3"/>
      <c r="E213" s="3"/>
      <c r="F213" s="15"/>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row>
    <row r="214" spans="1:86" ht="14.25" customHeight="1">
      <c r="A214" s="3"/>
      <c r="B214" s="3"/>
      <c r="C214" s="3"/>
      <c r="D214" s="3"/>
      <c r="E214" s="3"/>
      <c r="F214" s="15"/>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row>
    <row r="215" spans="1:86" ht="14.25" customHeight="1">
      <c r="A215" s="3"/>
      <c r="B215" s="3"/>
      <c r="C215" s="3"/>
      <c r="D215" s="3"/>
      <c r="E215" s="3"/>
      <c r="F215" s="15"/>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row>
    <row r="216" spans="1:86" ht="14.25" customHeight="1">
      <c r="A216" s="3"/>
      <c r="B216" s="3"/>
      <c r="C216" s="3"/>
      <c r="D216" s="3"/>
      <c r="E216" s="3"/>
      <c r="F216" s="15"/>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row>
    <row r="217" spans="1:86" ht="14.25" customHeight="1">
      <c r="A217" s="3"/>
      <c r="B217" s="3"/>
      <c r="C217" s="3"/>
      <c r="D217" s="3"/>
      <c r="E217" s="3"/>
      <c r="F217" s="15"/>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row>
    <row r="218" spans="1:86" ht="14.25" customHeight="1">
      <c r="A218" s="3"/>
      <c r="B218" s="3"/>
      <c r="C218" s="3"/>
      <c r="D218" s="3"/>
      <c r="E218" s="3"/>
      <c r="F218" s="15"/>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row>
    <row r="219" spans="1:86" ht="14.25" customHeight="1">
      <c r="A219" s="3"/>
      <c r="B219" s="3"/>
      <c r="C219" s="3"/>
      <c r="D219" s="3"/>
      <c r="E219" s="3"/>
      <c r="F219" s="15"/>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row>
    <row r="220" spans="1:86" ht="14.25" customHeight="1">
      <c r="A220" s="3"/>
      <c r="B220" s="3"/>
      <c r="C220" s="3"/>
      <c r="D220" s="3"/>
      <c r="E220" s="3"/>
      <c r="F220" s="15"/>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row>
    <row r="221" spans="1:86" ht="14.25" customHeight="1">
      <c r="A221" s="3"/>
      <c r="B221" s="3"/>
      <c r="C221" s="3"/>
      <c r="D221" s="3"/>
      <c r="E221" s="3"/>
      <c r="F221" s="15"/>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row>
    <row r="222" spans="1:86" ht="14.25" customHeight="1">
      <c r="A222" s="3"/>
      <c r="B222" s="3"/>
      <c r="C222" s="3"/>
      <c r="D222" s="3"/>
      <c r="E222" s="3"/>
      <c r="F222" s="15"/>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row>
    <row r="223" spans="1:86" ht="14.25" customHeight="1">
      <c r="A223" s="3"/>
      <c r="B223" s="3"/>
      <c r="C223" s="3"/>
      <c r="D223" s="3"/>
      <c r="E223" s="3"/>
      <c r="F223" s="15"/>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row>
    <row r="224" spans="1:86" ht="14.25" customHeight="1">
      <c r="A224" s="3"/>
      <c r="B224" s="3"/>
      <c r="C224" s="3"/>
      <c r="D224" s="3"/>
      <c r="E224" s="3"/>
      <c r="F224" s="15"/>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row>
    <row r="225" spans="1:86" ht="14.25" customHeight="1">
      <c r="A225" s="3"/>
      <c r="B225" s="3"/>
      <c r="C225" s="3"/>
      <c r="D225" s="3"/>
      <c r="E225" s="3"/>
      <c r="F225" s="15"/>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row>
    <row r="226" spans="1:86" ht="14.25" customHeight="1">
      <c r="A226" s="3"/>
      <c r="B226" s="3"/>
      <c r="C226" s="3"/>
      <c r="D226" s="3"/>
      <c r="E226" s="3"/>
      <c r="F226" s="15"/>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row>
    <row r="227" spans="1:86" ht="14.25" customHeight="1">
      <c r="A227" s="3"/>
      <c r="B227" s="3"/>
      <c r="C227" s="3"/>
      <c r="D227" s="3"/>
      <c r="E227" s="3"/>
      <c r="F227" s="15"/>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row>
    <row r="228" spans="1:86" ht="14.25" customHeight="1">
      <c r="A228" s="3"/>
      <c r="B228" s="3"/>
      <c r="C228" s="3"/>
      <c r="D228" s="3"/>
      <c r="E228" s="3"/>
      <c r="F228" s="15"/>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row>
    <row r="229" spans="1:86" ht="14.25" customHeight="1">
      <c r="A229" s="3"/>
      <c r="B229" s="3"/>
      <c r="C229" s="3"/>
      <c r="D229" s="3"/>
      <c r="E229" s="3"/>
      <c r="F229" s="15"/>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row>
    <row r="230" spans="1:86" ht="14.25" customHeight="1">
      <c r="A230" s="3"/>
      <c r="B230" s="3"/>
      <c r="C230" s="3"/>
      <c r="D230" s="3"/>
      <c r="E230" s="3"/>
      <c r="F230" s="15"/>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row>
    <row r="231" spans="1:86" ht="14.25" customHeight="1">
      <c r="A231" s="3"/>
      <c r="B231" s="3"/>
      <c r="C231" s="3"/>
      <c r="D231" s="3"/>
      <c r="E231" s="3"/>
      <c r="F231" s="15"/>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row>
    <row r="232" spans="1:86" ht="14.25" customHeight="1">
      <c r="A232" s="3"/>
      <c r="B232" s="3"/>
      <c r="C232" s="3"/>
      <c r="D232" s="3"/>
      <c r="E232" s="3"/>
      <c r="F232" s="15"/>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row>
    <row r="233" spans="1:86" ht="14.25" customHeight="1">
      <c r="A233" s="3"/>
      <c r="B233" s="3"/>
      <c r="C233" s="3"/>
      <c r="D233" s="3"/>
      <c r="E233" s="3"/>
      <c r="F233" s="15"/>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row>
    <row r="234" spans="1:86" ht="14.25" customHeight="1">
      <c r="A234" s="3"/>
      <c r="B234" s="3"/>
      <c r="C234" s="3"/>
      <c r="D234" s="3"/>
      <c r="E234" s="3"/>
      <c r="F234" s="15"/>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row>
    <row r="235" spans="1:86" ht="14.25" customHeight="1">
      <c r="A235" s="3"/>
      <c r="B235" s="3"/>
      <c r="C235" s="3"/>
      <c r="D235" s="3"/>
      <c r="E235" s="3"/>
      <c r="F235" s="15"/>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row>
    <row r="236" spans="1:86" ht="14.25" customHeight="1">
      <c r="A236" s="3"/>
      <c r="B236" s="3"/>
      <c r="C236" s="3"/>
      <c r="D236" s="3"/>
      <c r="E236" s="3"/>
      <c r="F236" s="15"/>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row>
    <row r="237" spans="1:86" ht="14.25" customHeight="1">
      <c r="A237" s="3"/>
      <c r="B237" s="3"/>
      <c r="C237" s="3"/>
      <c r="D237" s="3"/>
      <c r="E237" s="3"/>
      <c r="F237" s="15"/>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row>
    <row r="238" spans="1:86" ht="14.25" customHeight="1">
      <c r="A238" s="3"/>
      <c r="B238" s="3"/>
      <c r="C238" s="3"/>
      <c r="D238" s="3"/>
      <c r="E238" s="3"/>
      <c r="F238" s="15"/>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row>
    <row r="239" spans="1:86" ht="14.25" customHeight="1">
      <c r="A239" s="3"/>
      <c r="B239" s="3"/>
      <c r="C239" s="3"/>
      <c r="D239" s="3"/>
      <c r="E239" s="3"/>
      <c r="F239" s="15"/>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row>
    <row r="240" spans="1:86" ht="14.25" customHeight="1">
      <c r="A240" s="3"/>
      <c r="B240" s="3"/>
      <c r="C240" s="3"/>
      <c r="D240" s="3"/>
      <c r="E240" s="3"/>
      <c r="F240" s="15"/>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row>
    <row r="241" spans="1:86" ht="14.25" customHeight="1">
      <c r="A241" s="3"/>
      <c r="B241" s="3"/>
      <c r="C241" s="3"/>
      <c r="D241" s="3"/>
      <c r="E241" s="3"/>
      <c r="F241" s="15"/>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row>
    <row r="242" spans="1:86" ht="14.25" customHeight="1">
      <c r="A242" s="3"/>
      <c r="B242" s="3"/>
      <c r="C242" s="3"/>
      <c r="D242" s="3"/>
      <c r="E242" s="3"/>
      <c r="F242" s="15"/>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row>
    <row r="243" spans="1:86" ht="14.25" customHeight="1">
      <c r="A243" s="3"/>
      <c r="B243" s="3"/>
      <c r="C243" s="3"/>
      <c r="D243" s="3"/>
      <c r="E243" s="3"/>
      <c r="F243" s="15"/>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row>
    <row r="244" spans="1:86" ht="14.25" customHeight="1">
      <c r="A244" s="3"/>
      <c r="B244" s="3"/>
      <c r="C244" s="3"/>
      <c r="D244" s="3"/>
      <c r="E244" s="3"/>
      <c r="F244" s="15"/>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row>
    <row r="245" spans="1:86" ht="14.25" customHeight="1">
      <c r="A245" s="3"/>
      <c r="B245" s="3"/>
      <c r="C245" s="3"/>
      <c r="D245" s="3"/>
      <c r="E245" s="3"/>
      <c r="F245" s="15"/>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row>
    <row r="246" spans="1:86" ht="14.25" customHeight="1">
      <c r="A246" s="3"/>
      <c r="B246" s="3"/>
      <c r="C246" s="3"/>
      <c r="D246" s="3"/>
      <c r="E246" s="3"/>
      <c r="F246" s="15"/>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row>
    <row r="247" spans="1:86" ht="14.25" customHeight="1">
      <c r="A247" s="3"/>
      <c r="B247" s="3"/>
      <c r="C247" s="3"/>
      <c r="D247" s="3"/>
      <c r="E247" s="3"/>
      <c r="F247" s="15"/>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row>
    <row r="248" spans="1:86" ht="14.25" customHeight="1">
      <c r="A248" s="3"/>
      <c r="B248" s="3"/>
      <c r="C248" s="3"/>
      <c r="D248" s="3"/>
      <c r="E248" s="3"/>
      <c r="F248" s="15"/>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row>
    <row r="249" spans="1:86" ht="14.25" customHeight="1">
      <c r="A249" s="3"/>
      <c r="B249" s="3"/>
      <c r="C249" s="3"/>
      <c r="D249" s="3"/>
      <c r="E249" s="3"/>
      <c r="F249" s="15"/>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row>
    <row r="250" spans="1:86" ht="14.25" customHeight="1">
      <c r="A250" s="3"/>
      <c r="B250" s="3"/>
      <c r="C250" s="3"/>
      <c r="D250" s="3"/>
      <c r="E250" s="3"/>
      <c r="F250" s="15"/>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row>
    <row r="251" spans="1:86" ht="14.25" customHeight="1">
      <c r="A251" s="3"/>
      <c r="B251" s="3"/>
      <c r="C251" s="3"/>
      <c r="D251" s="3"/>
      <c r="E251" s="3"/>
      <c r="F251" s="15"/>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row>
    <row r="252" spans="1:86" ht="14.25" customHeight="1">
      <c r="A252" s="3"/>
      <c r="B252" s="3"/>
      <c r="C252" s="3"/>
      <c r="D252" s="3"/>
      <c r="E252" s="3"/>
      <c r="F252" s="15"/>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row>
    <row r="253" spans="1:86" ht="14.25" customHeight="1">
      <c r="A253" s="3"/>
      <c r="B253" s="3"/>
      <c r="C253" s="3"/>
      <c r="D253" s="3"/>
      <c r="E253" s="3"/>
      <c r="F253" s="15"/>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row>
    <row r="254" spans="1:86" ht="14.25" customHeight="1">
      <c r="A254" s="3"/>
      <c r="B254" s="3"/>
      <c r="C254" s="3"/>
      <c r="D254" s="3"/>
      <c r="E254" s="3"/>
      <c r="F254" s="15"/>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row>
    <row r="255" spans="1:86" ht="14.25" customHeight="1">
      <c r="A255" s="3"/>
      <c r="B255" s="3"/>
      <c r="C255" s="3"/>
      <c r="D255" s="3"/>
      <c r="E255" s="3"/>
      <c r="F255" s="15"/>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row>
    <row r="256" spans="1:86" ht="14.25" customHeight="1">
      <c r="F256" s="45"/>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row>
    <row r="257" spans="6:86" ht="14.25" customHeight="1">
      <c r="F257" s="45"/>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row>
    <row r="258" spans="6:86" ht="14.25" customHeight="1">
      <c r="F258" s="45"/>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row>
    <row r="259" spans="6:86" ht="14.25" customHeight="1">
      <c r="F259" s="45"/>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row>
    <row r="260" spans="6:86" ht="14.25" customHeight="1">
      <c r="F260" s="45"/>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row>
    <row r="261" spans="6:86" ht="14.25" customHeight="1">
      <c r="F261" s="45"/>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row>
    <row r="262" spans="6:86" ht="14.25" customHeight="1">
      <c r="F262" s="45"/>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row>
    <row r="263" spans="6:86" ht="14.25" customHeight="1">
      <c r="F263" s="45"/>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row>
    <row r="264" spans="6:86" ht="14.25" customHeight="1">
      <c r="F264" s="45"/>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row>
    <row r="265" spans="6:86" ht="14.25" customHeight="1">
      <c r="F265" s="45"/>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row>
    <row r="266" spans="6:86" ht="14.25" customHeight="1">
      <c r="F266" s="45"/>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row>
    <row r="267" spans="6:86" ht="14.25" customHeight="1">
      <c r="F267" s="45"/>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row>
    <row r="268" spans="6:86" ht="14.25" customHeight="1">
      <c r="F268" s="45"/>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row>
    <row r="269" spans="6:86" ht="14.25" customHeight="1">
      <c r="F269" s="45"/>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row>
    <row r="270" spans="6:86" ht="14.25" customHeight="1">
      <c r="F270" s="45"/>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row>
    <row r="271" spans="6:86" ht="14.25" customHeight="1">
      <c r="F271" s="45"/>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row>
    <row r="272" spans="6:86" ht="14.25" customHeight="1">
      <c r="F272" s="45"/>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row>
    <row r="273" spans="6:86" ht="14.25" customHeight="1">
      <c r="F273" s="45"/>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row>
    <row r="274" spans="6:86" ht="14.25" customHeight="1">
      <c r="F274" s="45"/>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row>
    <row r="275" spans="6:86" ht="14.25" customHeight="1">
      <c r="F275" s="45"/>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row>
    <row r="276" spans="6:86" ht="14.25" customHeight="1">
      <c r="F276" s="45"/>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row>
    <row r="277" spans="6:86" ht="14.25" customHeight="1">
      <c r="F277" s="45"/>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row>
    <row r="278" spans="6:86" ht="14.25" customHeight="1">
      <c r="F278" s="45"/>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row>
    <row r="279" spans="6:86" ht="14.25" customHeight="1">
      <c r="F279" s="45"/>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row>
    <row r="280" spans="6:86" ht="14.25" customHeight="1">
      <c r="F280" s="45"/>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row>
    <row r="281" spans="6:86" ht="14.25" customHeight="1">
      <c r="F281" s="45"/>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row>
    <row r="282" spans="6:86" ht="14.25" customHeight="1">
      <c r="F282" s="45"/>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row>
    <row r="283" spans="6:86" ht="14.25" customHeight="1">
      <c r="F283" s="45"/>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row>
    <row r="284" spans="6:86" ht="14.25" customHeight="1">
      <c r="F284" s="45"/>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row>
    <row r="285" spans="6:86" ht="14.25" customHeight="1">
      <c r="F285" s="45"/>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row>
    <row r="286" spans="6:86" ht="14.25" customHeight="1">
      <c r="F286" s="45"/>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row>
    <row r="287" spans="6:86" ht="14.25" customHeight="1">
      <c r="F287" s="45"/>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row>
    <row r="288" spans="6:86" ht="14.25" customHeight="1">
      <c r="F288" s="45"/>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row>
    <row r="289" spans="6:86" ht="14.25" customHeight="1">
      <c r="F289" s="45"/>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row>
    <row r="290" spans="6:86" ht="14.25" customHeight="1">
      <c r="F290" s="45"/>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row>
    <row r="291" spans="6:86" ht="14.25" customHeight="1">
      <c r="F291" s="45"/>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row>
    <row r="292" spans="6:86" ht="14.25" customHeight="1">
      <c r="F292" s="45"/>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row>
    <row r="293" spans="6:86" ht="14.25" customHeight="1">
      <c r="F293" s="45"/>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row>
    <row r="294" spans="6:86" ht="14.25" customHeight="1">
      <c r="F294" s="45"/>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row>
    <row r="295" spans="6:86" ht="14.25" customHeight="1">
      <c r="F295" s="45"/>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row>
    <row r="296" spans="6:86" ht="14.25" customHeight="1">
      <c r="F296" s="45"/>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row>
    <row r="297" spans="6:86" ht="14.25" customHeight="1">
      <c r="F297" s="45"/>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row>
    <row r="298" spans="6:86" ht="14.25" customHeight="1">
      <c r="F298" s="45"/>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row>
    <row r="299" spans="6:86" ht="14.25" customHeight="1">
      <c r="F299" s="45"/>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row>
    <row r="300" spans="6:86" ht="14.25" customHeight="1">
      <c r="F300" s="45"/>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row>
    <row r="301" spans="6:86" ht="14.25" customHeight="1">
      <c r="F301" s="45"/>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row>
    <row r="302" spans="6:86" ht="14.25" customHeight="1">
      <c r="F302" s="45"/>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row>
    <row r="303" spans="6:86" ht="14.25" customHeight="1">
      <c r="F303" s="45"/>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row>
    <row r="304" spans="6:86" ht="14.25" customHeight="1">
      <c r="F304" s="45"/>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row>
    <row r="305" spans="6:86" ht="14.25" customHeight="1">
      <c r="F305" s="45"/>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row>
    <row r="306" spans="6:86" ht="14.25" customHeight="1">
      <c r="F306" s="45"/>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row>
    <row r="307" spans="6:86" ht="14.25" customHeight="1">
      <c r="F307" s="45"/>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row>
    <row r="308" spans="6:86" ht="14.25" customHeight="1">
      <c r="F308" s="45"/>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row>
    <row r="309" spans="6:86" ht="14.25" customHeight="1">
      <c r="F309" s="45"/>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row>
    <row r="310" spans="6:86" ht="14.25" customHeight="1">
      <c r="F310" s="45"/>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row>
    <row r="311" spans="6:86" ht="14.25" customHeight="1">
      <c r="F311" s="45"/>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row>
    <row r="312" spans="6:86" ht="14.25" customHeight="1">
      <c r="F312" s="45"/>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row>
    <row r="313" spans="6:86" ht="14.25" customHeight="1">
      <c r="F313" s="45"/>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row>
    <row r="314" spans="6:86" ht="14.25" customHeight="1">
      <c r="F314" s="45"/>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row>
    <row r="315" spans="6:86" ht="14.25" customHeight="1">
      <c r="F315" s="45"/>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row>
    <row r="316" spans="6:86" ht="14.25" customHeight="1">
      <c r="F316" s="45"/>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row>
    <row r="317" spans="6:86" ht="14.25" customHeight="1">
      <c r="F317" s="45"/>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row>
    <row r="318" spans="6:86" ht="14.25" customHeight="1">
      <c r="F318" s="45"/>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row>
    <row r="319" spans="6:86" ht="14.25" customHeight="1">
      <c r="F319" s="45"/>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row>
    <row r="320" spans="6:86" ht="14.25" customHeight="1">
      <c r="F320" s="45"/>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row>
    <row r="321" spans="6:86" ht="14.25" customHeight="1">
      <c r="F321" s="45"/>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row>
    <row r="322" spans="6:86" ht="14.25" customHeight="1">
      <c r="F322" s="45"/>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row>
    <row r="323" spans="6:86" ht="14.25" customHeight="1">
      <c r="F323" s="45"/>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row>
    <row r="324" spans="6:86" ht="14.25" customHeight="1">
      <c r="F324" s="45"/>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row>
    <row r="325" spans="6:86" ht="14.25" customHeight="1">
      <c r="F325" s="45"/>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row>
    <row r="326" spans="6:86" ht="14.25" customHeight="1">
      <c r="F326" s="45"/>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row>
    <row r="327" spans="6:86" ht="14.25" customHeight="1">
      <c r="F327" s="45"/>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row>
    <row r="328" spans="6:86" ht="14.25" customHeight="1">
      <c r="F328" s="45"/>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row>
    <row r="329" spans="6:86" ht="14.25" customHeight="1">
      <c r="F329" s="45"/>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row>
    <row r="330" spans="6:86" ht="14.25" customHeight="1">
      <c r="F330" s="45"/>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row>
    <row r="331" spans="6:86" ht="14.25" customHeight="1">
      <c r="F331" s="45"/>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row>
    <row r="332" spans="6:86" ht="14.25" customHeight="1">
      <c r="F332" s="45"/>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row>
    <row r="333" spans="6:86" ht="14.25" customHeight="1">
      <c r="F333" s="45"/>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row>
    <row r="334" spans="6:86" ht="14.25" customHeight="1">
      <c r="F334" s="45"/>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row>
    <row r="335" spans="6:86" ht="14.25" customHeight="1">
      <c r="F335" s="45"/>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row>
    <row r="336" spans="6:86" ht="14.25" customHeight="1">
      <c r="F336" s="45"/>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row>
    <row r="337" spans="6:86" ht="14.25" customHeight="1">
      <c r="F337" s="45"/>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row>
    <row r="338" spans="6:86" ht="14.25" customHeight="1">
      <c r="F338" s="45"/>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row>
    <row r="339" spans="6:86" ht="14.25" customHeight="1">
      <c r="F339" s="45"/>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row>
    <row r="340" spans="6:86" ht="14.25" customHeight="1">
      <c r="F340" s="45"/>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row>
    <row r="341" spans="6:86" ht="14.25" customHeight="1">
      <c r="F341" s="45"/>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row>
    <row r="342" spans="6:86" ht="14.25" customHeight="1">
      <c r="F342" s="45"/>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row>
    <row r="343" spans="6:86" ht="14.25" customHeight="1">
      <c r="F343" s="45"/>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row>
    <row r="344" spans="6:86" ht="14.25" customHeight="1">
      <c r="F344" s="45"/>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row>
    <row r="345" spans="6:86" ht="14.25" customHeight="1">
      <c r="F345" s="45"/>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row>
    <row r="346" spans="6:86" ht="14.25" customHeight="1">
      <c r="F346" s="45"/>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row>
    <row r="347" spans="6:86" ht="14.25" customHeight="1">
      <c r="F347" s="45"/>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row>
    <row r="348" spans="6:86" ht="14.25" customHeight="1">
      <c r="F348" s="45"/>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row>
    <row r="349" spans="6:86" ht="14.25" customHeight="1">
      <c r="F349" s="45"/>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row>
    <row r="350" spans="6:86" ht="14.25" customHeight="1">
      <c r="F350" s="45"/>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row>
    <row r="351" spans="6:86" ht="14.25" customHeight="1">
      <c r="F351" s="45"/>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row>
    <row r="352" spans="6:86" ht="14.25" customHeight="1">
      <c r="F352" s="45"/>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row>
    <row r="353" spans="6:86" ht="14.25" customHeight="1">
      <c r="F353" s="45"/>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row>
    <row r="354" spans="6:86" ht="14.25" customHeight="1">
      <c r="F354" s="45"/>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row>
    <row r="355" spans="6:86" ht="14.25" customHeight="1">
      <c r="F355" s="45"/>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row>
    <row r="356" spans="6:86" ht="14.25" customHeight="1">
      <c r="F356" s="45"/>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row>
    <row r="357" spans="6:86" ht="14.25" customHeight="1">
      <c r="F357" s="45"/>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row>
    <row r="358" spans="6:86" ht="14.25" customHeight="1">
      <c r="F358" s="45"/>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row>
    <row r="359" spans="6:86" ht="14.25" customHeight="1">
      <c r="F359" s="45"/>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row>
    <row r="360" spans="6:86" ht="14.25" customHeight="1">
      <c r="F360" s="45"/>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row>
    <row r="361" spans="6:86" ht="14.25" customHeight="1">
      <c r="F361" s="45"/>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row>
    <row r="362" spans="6:86" ht="14.25" customHeight="1">
      <c r="F362" s="45"/>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row>
    <row r="363" spans="6:86" ht="14.25" customHeight="1">
      <c r="F363" s="45"/>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row>
    <row r="364" spans="6:86" ht="14.25" customHeight="1">
      <c r="F364" s="45"/>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row>
    <row r="365" spans="6:86" ht="14.25" customHeight="1">
      <c r="F365" s="45"/>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row>
    <row r="366" spans="6:86" ht="14.25" customHeight="1">
      <c r="F366" s="45"/>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row>
    <row r="367" spans="6:86" ht="14.25" customHeight="1">
      <c r="F367" s="45"/>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row>
    <row r="368" spans="6:86" ht="14.25" customHeight="1">
      <c r="F368" s="45"/>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row>
    <row r="369" spans="6:86" ht="14.25" customHeight="1">
      <c r="F369" s="45"/>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row>
    <row r="370" spans="6:86" ht="14.25" customHeight="1">
      <c r="F370" s="45"/>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row>
    <row r="371" spans="6:86" ht="14.25" customHeight="1">
      <c r="F371" s="45"/>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row>
    <row r="372" spans="6:86" ht="14.25" customHeight="1">
      <c r="F372" s="45"/>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row>
    <row r="373" spans="6:86" ht="14.25" customHeight="1">
      <c r="F373" s="45"/>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row>
    <row r="374" spans="6:86" ht="14.25" customHeight="1">
      <c r="F374" s="45"/>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row>
    <row r="375" spans="6:86" ht="14.25" customHeight="1">
      <c r="F375" s="45"/>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row>
    <row r="376" spans="6:86" ht="14.25" customHeight="1">
      <c r="F376" s="45"/>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row>
    <row r="377" spans="6:86" ht="14.25" customHeight="1">
      <c r="F377" s="45"/>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row>
    <row r="378" spans="6:86" ht="14.25" customHeight="1">
      <c r="F378" s="45"/>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row>
    <row r="379" spans="6:86" ht="14.25" customHeight="1">
      <c r="F379" s="45"/>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row>
    <row r="380" spans="6:86" ht="14.25" customHeight="1">
      <c r="F380" s="45"/>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row>
    <row r="381" spans="6:86" ht="14.25" customHeight="1">
      <c r="F381" s="45"/>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row>
    <row r="382" spans="6:86" ht="14.25" customHeight="1">
      <c r="F382" s="45"/>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row>
    <row r="383" spans="6:86" ht="14.25" customHeight="1">
      <c r="F383" s="45"/>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row>
    <row r="384" spans="6:86" ht="14.25" customHeight="1">
      <c r="F384" s="45"/>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row>
    <row r="385" spans="6:86" ht="14.25" customHeight="1">
      <c r="F385" s="45"/>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row>
    <row r="386" spans="6:86" ht="14.25" customHeight="1">
      <c r="F386" s="45"/>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row>
    <row r="387" spans="6:86" ht="14.25" customHeight="1">
      <c r="F387" s="45"/>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row>
    <row r="388" spans="6:86" ht="14.25" customHeight="1">
      <c r="F388" s="45"/>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row>
    <row r="389" spans="6:86" ht="14.25" customHeight="1">
      <c r="F389" s="45"/>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row>
    <row r="390" spans="6:86" ht="14.25" customHeight="1">
      <c r="F390" s="45"/>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row>
    <row r="391" spans="6:86" ht="14.25" customHeight="1">
      <c r="F391" s="45"/>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row>
    <row r="392" spans="6:86" ht="14.25" customHeight="1">
      <c r="F392" s="45"/>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row>
    <row r="393" spans="6:86" ht="14.25" customHeight="1">
      <c r="F393" s="45"/>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row>
    <row r="394" spans="6:86" ht="14.25" customHeight="1">
      <c r="F394" s="45"/>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row>
    <row r="395" spans="6:86" ht="14.25" customHeight="1">
      <c r="F395" s="45"/>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row>
    <row r="396" spans="6:86" ht="14.25" customHeight="1">
      <c r="F396" s="45"/>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row>
    <row r="397" spans="6:86" ht="14.25" customHeight="1">
      <c r="F397" s="45"/>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row>
    <row r="398" spans="6:86" ht="14.25" customHeight="1">
      <c r="F398" s="45"/>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row>
    <row r="399" spans="6:86" ht="14.25" customHeight="1">
      <c r="F399" s="45"/>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row>
    <row r="400" spans="6:86" ht="14.25" customHeight="1">
      <c r="F400" s="45"/>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row>
    <row r="401" spans="6:86" ht="14.25" customHeight="1">
      <c r="F401" s="45"/>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row>
    <row r="402" spans="6:86" ht="14.25" customHeight="1">
      <c r="F402" s="45"/>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row>
    <row r="403" spans="6:86" ht="14.25" customHeight="1">
      <c r="F403" s="45"/>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row>
    <row r="404" spans="6:86" ht="14.25" customHeight="1">
      <c r="F404" s="45"/>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row>
    <row r="405" spans="6:86" ht="14.25" customHeight="1">
      <c r="F405" s="45"/>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row>
    <row r="406" spans="6:86" ht="14.25" customHeight="1">
      <c r="F406" s="45"/>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row>
    <row r="407" spans="6:86" ht="14.25" customHeight="1">
      <c r="F407" s="45"/>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row>
    <row r="408" spans="6:86" ht="14.25" customHeight="1">
      <c r="F408" s="45"/>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row>
    <row r="409" spans="6:86" ht="14.25" customHeight="1">
      <c r="F409" s="45"/>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row>
    <row r="410" spans="6:86" ht="14.25" customHeight="1">
      <c r="F410" s="45"/>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row>
    <row r="411" spans="6:86" ht="14.25" customHeight="1">
      <c r="F411" s="45"/>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row>
    <row r="412" spans="6:86" ht="14.25" customHeight="1">
      <c r="F412" s="45"/>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row>
    <row r="413" spans="6:86" ht="14.25" customHeight="1">
      <c r="F413" s="45"/>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row>
    <row r="414" spans="6:86" ht="14.25" customHeight="1">
      <c r="F414" s="45"/>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row>
    <row r="415" spans="6:86" ht="14.25" customHeight="1">
      <c r="F415" s="45"/>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row>
    <row r="416" spans="6:86" ht="14.25" customHeight="1">
      <c r="F416" s="45"/>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row>
    <row r="417" spans="6:86" ht="14.25" customHeight="1">
      <c r="F417" s="45"/>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row>
    <row r="418" spans="6:86" ht="14.25" customHeight="1">
      <c r="F418" s="45"/>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row>
    <row r="419" spans="6:86" ht="14.25" customHeight="1">
      <c r="F419" s="45"/>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row>
    <row r="420" spans="6:86" ht="14.25" customHeight="1">
      <c r="F420" s="45"/>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row>
    <row r="421" spans="6:86" ht="14.25" customHeight="1">
      <c r="F421" s="45"/>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row>
    <row r="422" spans="6:86" ht="14.25" customHeight="1">
      <c r="F422" s="45"/>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row>
    <row r="423" spans="6:86" ht="14.25" customHeight="1">
      <c r="F423" s="45"/>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row>
    <row r="424" spans="6:86" ht="14.25" customHeight="1">
      <c r="F424" s="45"/>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row>
    <row r="425" spans="6:86" ht="14.25" customHeight="1">
      <c r="F425" s="45"/>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row>
    <row r="426" spans="6:86" ht="14.25" customHeight="1">
      <c r="F426" s="45"/>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row>
    <row r="427" spans="6:86" ht="14.25" customHeight="1">
      <c r="F427" s="45"/>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row>
    <row r="428" spans="6:86" ht="14.25" customHeight="1">
      <c r="F428" s="45"/>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row>
    <row r="429" spans="6:86" ht="14.25" customHeight="1">
      <c r="F429" s="45"/>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row>
    <row r="430" spans="6:86" ht="14.25" customHeight="1">
      <c r="F430" s="45"/>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row>
    <row r="431" spans="6:86" ht="14.25" customHeight="1">
      <c r="F431" s="45"/>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row>
    <row r="432" spans="6:86" ht="14.25" customHeight="1">
      <c r="F432" s="45"/>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row>
    <row r="433" spans="6:86" ht="14.25" customHeight="1">
      <c r="F433" s="45"/>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row>
    <row r="434" spans="6:86" ht="14.25" customHeight="1">
      <c r="F434" s="45"/>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row>
    <row r="435" spans="6:86" ht="14.25" customHeight="1">
      <c r="F435" s="45"/>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row>
    <row r="436" spans="6:86" ht="14.25" customHeight="1">
      <c r="F436" s="45"/>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row>
    <row r="437" spans="6:86" ht="14.25" customHeight="1">
      <c r="F437" s="45"/>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row>
    <row r="438" spans="6:86" ht="14.25" customHeight="1">
      <c r="F438" s="45"/>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row>
    <row r="439" spans="6:86" ht="14.25" customHeight="1">
      <c r="F439" s="45"/>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row>
    <row r="440" spans="6:86" ht="14.25" customHeight="1">
      <c r="F440" s="45"/>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row>
    <row r="441" spans="6:86" ht="14.25" customHeight="1">
      <c r="F441" s="45"/>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row>
    <row r="442" spans="6:86" ht="14.25" customHeight="1">
      <c r="F442" s="45"/>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row>
    <row r="443" spans="6:86" ht="14.25" customHeight="1">
      <c r="F443" s="45"/>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row>
    <row r="444" spans="6:86" ht="14.25" customHeight="1">
      <c r="F444" s="45"/>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row>
    <row r="445" spans="6:86" ht="14.25" customHeight="1">
      <c r="F445" s="45"/>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row>
    <row r="446" spans="6:86" ht="14.25" customHeight="1">
      <c r="F446" s="45"/>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row>
    <row r="447" spans="6:86" ht="14.25" customHeight="1">
      <c r="F447" s="45"/>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row>
    <row r="448" spans="6:86" ht="14.25" customHeight="1">
      <c r="F448" s="45"/>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row>
    <row r="449" spans="6:86" ht="14.25" customHeight="1">
      <c r="F449" s="45"/>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row>
    <row r="450" spans="6:86" ht="14.25" customHeight="1">
      <c r="F450" s="45"/>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row>
    <row r="451" spans="6:86" ht="14.25" customHeight="1">
      <c r="F451" s="45"/>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row>
    <row r="452" spans="6:86" ht="14.25" customHeight="1">
      <c r="F452" s="45"/>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row>
    <row r="453" spans="6:86" ht="14.25" customHeight="1">
      <c r="F453" s="45"/>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row>
    <row r="454" spans="6:86" ht="14.25" customHeight="1">
      <c r="F454" s="45"/>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row>
    <row r="455" spans="6:86" ht="14.25" customHeight="1">
      <c r="F455" s="45"/>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row>
    <row r="456" spans="6:86" ht="14.25" customHeight="1">
      <c r="F456" s="45"/>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row>
    <row r="457" spans="6:86" ht="14.25" customHeight="1">
      <c r="F457" s="45"/>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row>
    <row r="458" spans="6:86" ht="14.25" customHeight="1">
      <c r="F458" s="45"/>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row>
    <row r="459" spans="6:86" ht="14.25" customHeight="1">
      <c r="F459" s="45"/>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row>
    <row r="460" spans="6:86" ht="14.25" customHeight="1">
      <c r="F460" s="45"/>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row>
    <row r="461" spans="6:86" ht="14.25" customHeight="1">
      <c r="F461" s="45"/>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row>
    <row r="462" spans="6:86" ht="14.25" customHeight="1">
      <c r="F462" s="45"/>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row>
    <row r="463" spans="6:86" ht="14.25" customHeight="1">
      <c r="F463" s="45"/>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row>
    <row r="464" spans="6:86" ht="14.25" customHeight="1">
      <c r="F464" s="45"/>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row>
    <row r="465" spans="6:86" ht="14.25" customHeight="1">
      <c r="F465" s="45"/>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row>
    <row r="466" spans="6:86" ht="14.25" customHeight="1">
      <c r="F466" s="45"/>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row>
    <row r="467" spans="6:86" ht="14.25" customHeight="1">
      <c r="F467" s="45"/>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row>
    <row r="468" spans="6:86" ht="14.25" customHeight="1">
      <c r="F468" s="45"/>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row>
    <row r="469" spans="6:86" ht="14.25" customHeight="1">
      <c r="F469" s="45"/>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row>
    <row r="470" spans="6:86" ht="14.25" customHeight="1">
      <c r="F470" s="45"/>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row>
    <row r="471" spans="6:86" ht="14.25" customHeight="1">
      <c r="F471" s="45"/>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row>
    <row r="472" spans="6:86" ht="14.25" customHeight="1">
      <c r="F472" s="45"/>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row>
    <row r="473" spans="6:86" ht="14.25" customHeight="1">
      <c r="F473" s="45"/>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row>
    <row r="474" spans="6:86" ht="14.25" customHeight="1">
      <c r="F474" s="45"/>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row>
    <row r="475" spans="6:86" ht="14.25" customHeight="1">
      <c r="F475" s="45"/>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row>
    <row r="476" spans="6:86" ht="14.25" customHeight="1">
      <c r="F476" s="45"/>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row>
    <row r="477" spans="6:86" ht="14.25" customHeight="1">
      <c r="F477" s="45"/>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row>
    <row r="478" spans="6:86" ht="14.25" customHeight="1">
      <c r="F478" s="45"/>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row>
    <row r="479" spans="6:86" ht="14.25" customHeight="1">
      <c r="F479" s="45"/>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row>
    <row r="480" spans="6:86" ht="14.25" customHeight="1">
      <c r="F480" s="45"/>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row>
    <row r="481" spans="6:86" ht="14.25" customHeight="1">
      <c r="F481" s="45"/>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row>
    <row r="482" spans="6:86" ht="14.25" customHeight="1">
      <c r="F482" s="45"/>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row>
    <row r="483" spans="6:86" ht="14.25" customHeight="1">
      <c r="F483" s="45"/>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row>
    <row r="484" spans="6:86" ht="14.25" customHeight="1">
      <c r="F484" s="45"/>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row>
    <row r="485" spans="6:86" ht="14.25" customHeight="1">
      <c r="F485" s="45"/>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row>
    <row r="486" spans="6:86" ht="14.25" customHeight="1">
      <c r="F486" s="45"/>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row>
    <row r="487" spans="6:86" ht="14.25" customHeight="1">
      <c r="F487" s="45"/>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row>
    <row r="488" spans="6:86" ht="14.25" customHeight="1">
      <c r="F488" s="45"/>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row>
    <row r="489" spans="6:86" ht="14.25" customHeight="1">
      <c r="F489" s="45"/>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row>
    <row r="490" spans="6:86" ht="14.25" customHeight="1">
      <c r="F490" s="45"/>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row>
    <row r="491" spans="6:86" ht="14.25" customHeight="1">
      <c r="F491" s="45"/>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row>
    <row r="492" spans="6:86" ht="14.25" customHeight="1">
      <c r="F492" s="45"/>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row>
    <row r="493" spans="6:86" ht="14.25" customHeight="1">
      <c r="F493" s="45"/>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row>
    <row r="494" spans="6:86" ht="14.25" customHeight="1">
      <c r="F494" s="45"/>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row>
    <row r="495" spans="6:86" ht="14.25" customHeight="1">
      <c r="F495" s="45"/>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row>
    <row r="496" spans="6:86" ht="14.25" customHeight="1">
      <c r="F496" s="45"/>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row>
    <row r="497" spans="6:86" ht="14.25" customHeight="1">
      <c r="F497" s="45"/>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row>
    <row r="498" spans="6:86" ht="14.25" customHeight="1">
      <c r="F498" s="45"/>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row>
    <row r="499" spans="6:86" ht="14.25" customHeight="1">
      <c r="F499" s="45"/>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row>
    <row r="500" spans="6:86" ht="14.25" customHeight="1">
      <c r="F500" s="45"/>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row>
    <row r="501" spans="6:86" ht="14.25" customHeight="1">
      <c r="F501" s="45"/>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row>
    <row r="502" spans="6:86" ht="14.25" customHeight="1">
      <c r="F502" s="45"/>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row>
    <row r="503" spans="6:86" ht="14.25" customHeight="1">
      <c r="F503" s="45"/>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row>
    <row r="504" spans="6:86" ht="14.25" customHeight="1">
      <c r="F504" s="45"/>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row>
    <row r="505" spans="6:86" ht="14.25" customHeight="1">
      <c r="F505" s="45"/>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row>
    <row r="506" spans="6:86" ht="14.25" customHeight="1">
      <c r="F506" s="45"/>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row>
    <row r="507" spans="6:86" ht="14.25" customHeight="1">
      <c r="F507" s="45"/>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row>
    <row r="508" spans="6:86" ht="14.25" customHeight="1">
      <c r="F508" s="45"/>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row>
    <row r="509" spans="6:86" ht="14.25" customHeight="1">
      <c r="F509" s="45"/>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row>
    <row r="510" spans="6:86" ht="14.25" customHeight="1">
      <c r="F510" s="45"/>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row>
    <row r="511" spans="6:86" ht="14.25" customHeight="1">
      <c r="F511" s="45"/>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row>
    <row r="512" spans="6:86" ht="14.25" customHeight="1">
      <c r="F512" s="45"/>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row>
    <row r="513" spans="6:86" ht="14.25" customHeight="1">
      <c r="F513" s="45"/>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row>
    <row r="514" spans="6:86" ht="14.25" customHeight="1">
      <c r="F514" s="45"/>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row>
    <row r="515" spans="6:86" ht="14.25" customHeight="1">
      <c r="F515" s="45"/>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row>
    <row r="516" spans="6:86" ht="14.25" customHeight="1">
      <c r="F516" s="45"/>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row>
    <row r="517" spans="6:86" ht="14.25" customHeight="1">
      <c r="F517" s="45"/>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row>
    <row r="518" spans="6:86" ht="14.25" customHeight="1">
      <c r="F518" s="45"/>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row>
    <row r="519" spans="6:86" ht="14.25" customHeight="1">
      <c r="F519" s="45"/>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row>
    <row r="520" spans="6:86" ht="14.25" customHeight="1">
      <c r="F520" s="45"/>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row>
    <row r="521" spans="6:86" ht="14.25" customHeight="1">
      <c r="F521" s="45"/>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row>
    <row r="522" spans="6:86" ht="14.25" customHeight="1">
      <c r="F522" s="45"/>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row>
    <row r="523" spans="6:86" ht="14.25" customHeight="1">
      <c r="F523" s="45"/>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row>
    <row r="524" spans="6:86" ht="14.25" customHeight="1">
      <c r="F524" s="45"/>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row>
    <row r="525" spans="6:86" ht="14.25" customHeight="1">
      <c r="F525" s="45"/>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row>
    <row r="526" spans="6:86" ht="14.25" customHeight="1">
      <c r="F526" s="45"/>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row>
    <row r="527" spans="6:86" ht="14.25" customHeight="1">
      <c r="F527" s="45"/>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row>
    <row r="528" spans="6:86" ht="14.25" customHeight="1">
      <c r="F528" s="45"/>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row>
    <row r="529" spans="6:86" ht="14.25" customHeight="1">
      <c r="F529" s="45"/>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row>
    <row r="530" spans="6:86" ht="14.25" customHeight="1">
      <c r="F530" s="45"/>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row>
    <row r="531" spans="6:86" ht="14.25" customHeight="1">
      <c r="F531" s="45"/>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row>
    <row r="532" spans="6:86" ht="14.25" customHeight="1">
      <c r="F532" s="45"/>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row>
    <row r="533" spans="6:86" ht="14.25" customHeight="1">
      <c r="F533" s="45"/>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row>
    <row r="534" spans="6:86" ht="14.25" customHeight="1">
      <c r="F534" s="45"/>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row>
    <row r="535" spans="6:86" ht="14.25" customHeight="1">
      <c r="F535" s="45"/>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row>
    <row r="536" spans="6:86" ht="14.25" customHeight="1">
      <c r="F536" s="45"/>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row>
    <row r="537" spans="6:86" ht="14.25" customHeight="1">
      <c r="F537" s="45"/>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row>
    <row r="538" spans="6:86" ht="14.25" customHeight="1">
      <c r="F538" s="45"/>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row>
    <row r="539" spans="6:86" ht="14.25" customHeight="1">
      <c r="F539" s="45"/>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row>
    <row r="540" spans="6:86" ht="14.25" customHeight="1">
      <c r="F540" s="45"/>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row>
    <row r="541" spans="6:86" ht="14.25" customHeight="1">
      <c r="F541" s="45"/>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row>
    <row r="542" spans="6:86" ht="14.25" customHeight="1">
      <c r="F542" s="45"/>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row>
    <row r="543" spans="6:86" ht="14.25" customHeight="1">
      <c r="F543" s="45"/>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row>
    <row r="544" spans="6:86" ht="14.25" customHeight="1">
      <c r="F544" s="45"/>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row>
    <row r="545" spans="6:86" ht="14.25" customHeight="1">
      <c r="F545" s="45"/>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row>
    <row r="546" spans="6:86" ht="14.25" customHeight="1">
      <c r="F546" s="45"/>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row>
    <row r="547" spans="6:86" ht="14.25" customHeight="1">
      <c r="F547" s="45"/>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row>
    <row r="548" spans="6:86" ht="14.25" customHeight="1">
      <c r="F548" s="45"/>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row>
    <row r="549" spans="6:86" ht="14.25" customHeight="1">
      <c r="F549" s="45"/>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row>
    <row r="550" spans="6:86" ht="14.25" customHeight="1">
      <c r="F550" s="45"/>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row>
    <row r="551" spans="6:86" ht="14.25" customHeight="1">
      <c r="F551" s="45"/>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row>
    <row r="552" spans="6:86" ht="14.25" customHeight="1">
      <c r="F552" s="45"/>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row>
    <row r="553" spans="6:86" ht="14.25" customHeight="1">
      <c r="F553" s="45"/>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row>
    <row r="554" spans="6:86" ht="14.25" customHeight="1">
      <c r="F554" s="45"/>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row>
    <row r="555" spans="6:86" ht="14.25" customHeight="1">
      <c r="F555" s="45"/>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row>
    <row r="556" spans="6:86" ht="14.25" customHeight="1">
      <c r="F556" s="45"/>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row>
    <row r="557" spans="6:86" ht="14.25" customHeight="1">
      <c r="F557" s="45"/>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row>
    <row r="558" spans="6:86" ht="14.25" customHeight="1">
      <c r="F558" s="45"/>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row>
    <row r="559" spans="6:86" ht="14.25" customHeight="1">
      <c r="F559" s="45"/>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row>
    <row r="560" spans="6:86" ht="14.25" customHeight="1">
      <c r="F560" s="45"/>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row>
    <row r="561" spans="6:86" ht="14.25" customHeight="1">
      <c r="F561" s="45"/>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row>
    <row r="562" spans="6:86" ht="14.25" customHeight="1">
      <c r="F562" s="45"/>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row>
    <row r="563" spans="6:86" ht="14.25" customHeight="1">
      <c r="F563" s="45"/>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row>
    <row r="564" spans="6:86" ht="14.25" customHeight="1">
      <c r="F564" s="45"/>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row>
    <row r="565" spans="6:86" ht="14.25" customHeight="1">
      <c r="F565" s="45"/>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row>
    <row r="566" spans="6:86" ht="14.25" customHeight="1">
      <c r="F566" s="45"/>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row>
    <row r="567" spans="6:86" ht="14.25" customHeight="1">
      <c r="F567" s="45"/>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row>
    <row r="568" spans="6:86" ht="14.25" customHeight="1">
      <c r="F568" s="45"/>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row>
    <row r="569" spans="6:86" ht="14.25" customHeight="1">
      <c r="F569" s="45"/>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row>
    <row r="570" spans="6:86" ht="14.25" customHeight="1">
      <c r="F570" s="45"/>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row>
    <row r="571" spans="6:86" ht="14.25" customHeight="1">
      <c r="F571" s="45"/>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row>
    <row r="572" spans="6:86" ht="14.25" customHeight="1">
      <c r="F572" s="45"/>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row>
    <row r="573" spans="6:86" ht="14.25" customHeight="1">
      <c r="F573" s="45"/>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row>
    <row r="574" spans="6:86" ht="14.25" customHeight="1">
      <c r="F574" s="45"/>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row>
    <row r="575" spans="6:86" ht="14.25" customHeight="1">
      <c r="F575" s="45"/>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row>
    <row r="576" spans="6:86" ht="14.25" customHeight="1">
      <c r="F576" s="45"/>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row>
    <row r="577" spans="6:86" ht="14.25" customHeight="1">
      <c r="F577" s="45"/>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row>
    <row r="578" spans="6:86" ht="14.25" customHeight="1">
      <c r="F578" s="45"/>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row>
    <row r="579" spans="6:86" ht="14.25" customHeight="1">
      <c r="F579" s="45"/>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row>
    <row r="580" spans="6:86" ht="14.25" customHeight="1">
      <c r="F580" s="45"/>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row>
    <row r="581" spans="6:86" ht="14.25" customHeight="1">
      <c r="F581" s="45"/>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row>
    <row r="582" spans="6:86" ht="14.25" customHeight="1">
      <c r="F582" s="45"/>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row>
    <row r="583" spans="6:86" ht="14.25" customHeight="1">
      <c r="F583" s="45"/>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row>
    <row r="584" spans="6:86" ht="14.25" customHeight="1">
      <c r="F584" s="45"/>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row>
    <row r="585" spans="6:86" ht="14.25" customHeight="1">
      <c r="F585" s="45"/>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row>
    <row r="586" spans="6:86" ht="14.25" customHeight="1">
      <c r="F586" s="45"/>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row>
    <row r="587" spans="6:86" ht="14.25" customHeight="1">
      <c r="F587" s="45"/>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row>
    <row r="588" spans="6:86" ht="14.25" customHeight="1">
      <c r="F588" s="45"/>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row>
    <row r="589" spans="6:86" ht="14.25" customHeight="1">
      <c r="F589" s="45"/>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row>
    <row r="590" spans="6:86" ht="14.25" customHeight="1">
      <c r="F590" s="45"/>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row>
    <row r="591" spans="6:86" ht="14.25" customHeight="1">
      <c r="F591" s="45"/>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row>
    <row r="592" spans="6:86" ht="14.25" customHeight="1">
      <c r="F592" s="45"/>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row>
    <row r="593" spans="6:86" ht="14.25" customHeight="1">
      <c r="F593" s="45"/>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row>
    <row r="594" spans="6:86" ht="14.25" customHeight="1">
      <c r="F594" s="45"/>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row>
    <row r="595" spans="6:86" ht="14.25" customHeight="1">
      <c r="F595" s="45"/>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row>
    <row r="596" spans="6:86" ht="14.25" customHeight="1">
      <c r="F596" s="45"/>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row>
    <row r="597" spans="6:86" ht="14.25" customHeight="1">
      <c r="F597" s="45"/>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row>
    <row r="598" spans="6:86" ht="14.25" customHeight="1">
      <c r="F598" s="45"/>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row>
    <row r="599" spans="6:86" ht="14.25" customHeight="1">
      <c r="F599" s="45"/>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row>
    <row r="600" spans="6:86" ht="14.25" customHeight="1">
      <c r="F600" s="45"/>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row>
    <row r="601" spans="6:86" ht="14.25" customHeight="1">
      <c r="F601" s="45"/>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row>
    <row r="602" spans="6:86" ht="14.25" customHeight="1">
      <c r="F602" s="45"/>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row>
    <row r="603" spans="6:86" ht="14.25" customHeight="1">
      <c r="F603" s="45"/>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row>
    <row r="604" spans="6:86" ht="14.25" customHeight="1">
      <c r="F604" s="45"/>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row>
    <row r="605" spans="6:86" ht="14.25" customHeight="1">
      <c r="F605" s="45"/>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row>
    <row r="606" spans="6:86" ht="14.25" customHeight="1">
      <c r="F606" s="45"/>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row>
    <row r="607" spans="6:86" ht="14.25" customHeight="1">
      <c r="F607" s="45"/>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row>
    <row r="608" spans="6:86" ht="14.25" customHeight="1">
      <c r="F608" s="45"/>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row>
    <row r="609" spans="6:86" ht="14.25" customHeight="1">
      <c r="F609" s="45"/>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row>
    <row r="610" spans="6:86" ht="14.25" customHeight="1">
      <c r="F610" s="45"/>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row>
    <row r="611" spans="6:86" ht="14.25" customHeight="1">
      <c r="F611" s="45"/>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row>
    <row r="612" spans="6:86" ht="14.25" customHeight="1">
      <c r="F612" s="45"/>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row>
    <row r="613" spans="6:86" ht="14.25" customHeight="1">
      <c r="F613" s="45"/>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row>
    <row r="614" spans="6:86" ht="14.25" customHeight="1">
      <c r="F614" s="45"/>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row>
    <row r="615" spans="6:86" ht="14.25" customHeight="1">
      <c r="F615" s="45"/>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row>
    <row r="616" spans="6:86" ht="14.25" customHeight="1">
      <c r="F616" s="45"/>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row>
    <row r="617" spans="6:86" ht="14.25" customHeight="1">
      <c r="F617" s="45"/>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row>
    <row r="618" spans="6:86" ht="14.25" customHeight="1">
      <c r="F618" s="45"/>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row>
    <row r="619" spans="6:86" ht="14.25" customHeight="1">
      <c r="F619" s="45"/>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row>
    <row r="620" spans="6:86" ht="14.25" customHeight="1">
      <c r="F620" s="45"/>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row>
    <row r="621" spans="6:86" ht="14.25" customHeight="1">
      <c r="F621" s="45"/>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row>
    <row r="622" spans="6:86" ht="14.25" customHeight="1">
      <c r="F622" s="45"/>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row>
    <row r="623" spans="6:86" ht="14.25" customHeight="1">
      <c r="F623" s="45"/>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row>
    <row r="624" spans="6:86" ht="14.25" customHeight="1">
      <c r="F624" s="45"/>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row>
    <row r="625" spans="6:86" ht="14.25" customHeight="1">
      <c r="F625" s="45"/>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row>
    <row r="626" spans="6:86" ht="14.25" customHeight="1">
      <c r="F626" s="45"/>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row>
    <row r="627" spans="6:86" ht="14.25" customHeight="1">
      <c r="F627" s="45"/>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row>
    <row r="628" spans="6:86" ht="14.25" customHeight="1">
      <c r="F628" s="45"/>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row>
    <row r="629" spans="6:86" ht="14.25" customHeight="1">
      <c r="F629" s="45"/>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row>
    <row r="630" spans="6:86" ht="14.25" customHeight="1">
      <c r="F630" s="45"/>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row>
    <row r="631" spans="6:86" ht="14.25" customHeight="1">
      <c r="F631" s="45"/>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row>
    <row r="632" spans="6:86" ht="14.25" customHeight="1">
      <c r="F632" s="45"/>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row>
    <row r="633" spans="6:86" ht="14.25" customHeight="1">
      <c r="F633" s="45"/>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row>
    <row r="634" spans="6:86" ht="14.25" customHeight="1">
      <c r="F634" s="45"/>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row>
    <row r="635" spans="6:86" ht="14.25" customHeight="1">
      <c r="F635" s="45"/>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row>
    <row r="636" spans="6:86" ht="14.25" customHeight="1">
      <c r="F636" s="45"/>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row>
    <row r="637" spans="6:86" ht="14.25" customHeight="1">
      <c r="F637" s="45"/>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row>
    <row r="638" spans="6:86" ht="14.25" customHeight="1">
      <c r="F638" s="45"/>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row>
    <row r="639" spans="6:86" ht="14.25" customHeight="1">
      <c r="F639" s="45"/>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row>
    <row r="640" spans="6:86" ht="14.25" customHeight="1">
      <c r="F640" s="45"/>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row>
    <row r="641" spans="6:86" ht="14.25" customHeight="1">
      <c r="F641" s="45"/>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row>
    <row r="642" spans="6:86" ht="14.25" customHeight="1">
      <c r="F642" s="45"/>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row>
    <row r="643" spans="6:86" ht="14.25" customHeight="1">
      <c r="F643" s="45"/>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row>
    <row r="644" spans="6:86" ht="14.25" customHeight="1">
      <c r="F644" s="45"/>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row>
    <row r="645" spans="6:86" ht="14.25" customHeight="1">
      <c r="F645" s="45"/>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row>
    <row r="646" spans="6:86" ht="14.25" customHeight="1">
      <c r="F646" s="45"/>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row>
    <row r="647" spans="6:86" ht="14.25" customHeight="1">
      <c r="F647" s="45"/>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row>
    <row r="648" spans="6:86" ht="14.25" customHeight="1">
      <c r="F648" s="45"/>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row>
    <row r="649" spans="6:86" ht="14.25" customHeight="1">
      <c r="F649" s="45"/>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row>
    <row r="650" spans="6:86" ht="14.25" customHeight="1">
      <c r="F650" s="45"/>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row>
    <row r="651" spans="6:86" ht="14.25" customHeight="1">
      <c r="F651" s="45"/>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row>
    <row r="652" spans="6:86" ht="14.25" customHeight="1">
      <c r="F652" s="45"/>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row>
    <row r="653" spans="6:86" ht="14.25" customHeight="1">
      <c r="F653" s="45"/>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row>
    <row r="654" spans="6:86" ht="14.25" customHeight="1">
      <c r="F654" s="45"/>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row>
    <row r="655" spans="6:86" ht="14.25" customHeight="1">
      <c r="F655" s="45"/>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row>
    <row r="656" spans="6:86" ht="14.25" customHeight="1">
      <c r="F656" s="45"/>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row>
    <row r="657" spans="6:86" ht="14.25" customHeight="1">
      <c r="F657" s="45"/>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row>
    <row r="658" spans="6:86" ht="14.25" customHeight="1">
      <c r="F658" s="45"/>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row>
    <row r="659" spans="6:86" ht="14.25" customHeight="1">
      <c r="F659" s="45"/>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row>
    <row r="660" spans="6:86" ht="14.25" customHeight="1">
      <c r="F660" s="45"/>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row>
    <row r="661" spans="6:86" ht="14.25" customHeight="1">
      <c r="F661" s="45"/>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row>
    <row r="662" spans="6:86" ht="14.25" customHeight="1">
      <c r="F662" s="45"/>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row>
    <row r="663" spans="6:86" ht="14.25" customHeight="1">
      <c r="F663" s="45"/>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row>
    <row r="664" spans="6:86" ht="14.25" customHeight="1">
      <c r="F664" s="45"/>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row>
    <row r="665" spans="6:86" ht="14.25" customHeight="1">
      <c r="F665" s="45"/>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row>
    <row r="666" spans="6:86" ht="14.25" customHeight="1">
      <c r="F666" s="45"/>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row>
    <row r="667" spans="6:86" ht="14.25" customHeight="1">
      <c r="F667" s="45"/>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row>
    <row r="668" spans="6:86" ht="14.25" customHeight="1">
      <c r="F668" s="45"/>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row>
    <row r="669" spans="6:86" ht="14.25" customHeight="1">
      <c r="F669" s="45"/>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row>
    <row r="670" spans="6:86" ht="14.25" customHeight="1">
      <c r="F670" s="45"/>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row>
    <row r="671" spans="6:86" ht="14.25" customHeight="1">
      <c r="F671" s="45"/>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row>
    <row r="672" spans="6:86" ht="14.25" customHeight="1">
      <c r="F672" s="45"/>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row>
    <row r="673" spans="6:86" ht="14.25" customHeight="1">
      <c r="F673" s="45"/>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row>
    <row r="674" spans="6:86" ht="14.25" customHeight="1">
      <c r="F674" s="45"/>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row>
    <row r="675" spans="6:86" ht="14.25" customHeight="1">
      <c r="F675" s="45"/>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row>
    <row r="676" spans="6:86" ht="14.25" customHeight="1">
      <c r="F676" s="45"/>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row>
    <row r="677" spans="6:86" ht="14.25" customHeight="1">
      <c r="F677" s="45"/>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row>
    <row r="678" spans="6:86" ht="14.25" customHeight="1">
      <c r="F678" s="45"/>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row>
    <row r="679" spans="6:86" ht="14.25" customHeight="1">
      <c r="F679" s="45"/>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row>
    <row r="680" spans="6:86" ht="14.25" customHeight="1">
      <c r="F680" s="45"/>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row>
    <row r="681" spans="6:86" ht="14.25" customHeight="1">
      <c r="F681" s="45"/>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row>
    <row r="682" spans="6:86" ht="14.25" customHeight="1">
      <c r="F682" s="45"/>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row>
    <row r="683" spans="6:86" ht="14.25" customHeight="1">
      <c r="F683" s="45"/>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row>
    <row r="684" spans="6:86" ht="14.25" customHeight="1">
      <c r="F684" s="45"/>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row>
    <row r="685" spans="6:86" ht="14.25" customHeight="1">
      <c r="F685" s="45"/>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row>
    <row r="686" spans="6:86" ht="14.25" customHeight="1">
      <c r="F686" s="45"/>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row>
    <row r="687" spans="6:86" ht="14.25" customHeight="1">
      <c r="F687" s="45"/>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row>
    <row r="688" spans="6:86" ht="14.25" customHeight="1">
      <c r="F688" s="45"/>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row>
    <row r="689" spans="6:86" ht="14.25" customHeight="1">
      <c r="F689" s="45"/>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row>
    <row r="690" spans="6:86" ht="14.25" customHeight="1">
      <c r="F690" s="45"/>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row>
    <row r="691" spans="6:86" ht="14.25" customHeight="1">
      <c r="F691" s="45"/>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row>
    <row r="692" spans="6:86" ht="14.25" customHeight="1">
      <c r="F692" s="45"/>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row>
    <row r="693" spans="6:86" ht="14.25" customHeight="1">
      <c r="F693" s="45"/>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row>
    <row r="694" spans="6:86" ht="14.25" customHeight="1">
      <c r="F694" s="45"/>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row>
    <row r="695" spans="6:86" ht="14.25" customHeight="1">
      <c r="F695" s="45"/>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row>
    <row r="696" spans="6:86" ht="14.25" customHeight="1">
      <c r="F696" s="45"/>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row>
    <row r="697" spans="6:86" ht="14.25" customHeight="1">
      <c r="F697" s="45"/>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row>
    <row r="698" spans="6:86" ht="14.25" customHeight="1">
      <c r="F698" s="45"/>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row>
    <row r="699" spans="6:86" ht="14.25" customHeight="1">
      <c r="F699" s="45"/>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row>
    <row r="700" spans="6:86" ht="14.25" customHeight="1">
      <c r="F700" s="45"/>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row>
    <row r="701" spans="6:86" ht="14.25" customHeight="1">
      <c r="F701" s="45"/>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row>
    <row r="702" spans="6:86" ht="14.25" customHeight="1">
      <c r="F702" s="45"/>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row>
    <row r="703" spans="6:86" ht="14.25" customHeight="1">
      <c r="F703" s="45"/>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row>
    <row r="704" spans="6:86" ht="14.25" customHeight="1">
      <c r="F704" s="45"/>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row>
    <row r="705" spans="6:86" ht="14.25" customHeight="1">
      <c r="F705" s="45"/>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row>
    <row r="706" spans="6:86" ht="14.25" customHeight="1">
      <c r="F706" s="45"/>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row>
    <row r="707" spans="6:86" ht="14.25" customHeight="1">
      <c r="F707" s="45"/>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row>
    <row r="708" spans="6:86" ht="14.25" customHeight="1">
      <c r="F708" s="45"/>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row>
    <row r="709" spans="6:86" ht="14.25" customHeight="1">
      <c r="F709" s="45"/>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row>
    <row r="710" spans="6:86" ht="14.25" customHeight="1">
      <c r="F710" s="45"/>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row>
    <row r="711" spans="6:86" ht="14.25" customHeight="1">
      <c r="F711" s="45"/>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row>
    <row r="712" spans="6:86" ht="14.25" customHeight="1">
      <c r="F712" s="45"/>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row>
    <row r="713" spans="6:86" ht="14.25" customHeight="1">
      <c r="F713" s="45"/>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row>
    <row r="714" spans="6:86" ht="14.25" customHeight="1">
      <c r="F714" s="45"/>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row>
    <row r="715" spans="6:86" ht="14.25" customHeight="1">
      <c r="F715" s="45"/>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row>
    <row r="716" spans="6:86" ht="14.25" customHeight="1">
      <c r="F716" s="45"/>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row>
    <row r="717" spans="6:86" ht="14.25" customHeight="1">
      <c r="F717" s="45"/>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row>
    <row r="718" spans="6:86" ht="14.25" customHeight="1">
      <c r="F718" s="45"/>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row>
    <row r="719" spans="6:86" ht="14.25" customHeight="1">
      <c r="F719" s="45"/>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row>
    <row r="720" spans="6:86" ht="14.25" customHeight="1">
      <c r="F720" s="45"/>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row>
    <row r="721" spans="6:86" ht="14.25" customHeight="1">
      <c r="F721" s="45"/>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row>
    <row r="722" spans="6:86" ht="14.25" customHeight="1">
      <c r="F722" s="45"/>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row>
    <row r="723" spans="6:86" ht="14.25" customHeight="1">
      <c r="F723" s="45"/>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row>
    <row r="724" spans="6:86" ht="14.25" customHeight="1">
      <c r="F724" s="45"/>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row>
    <row r="725" spans="6:86" ht="14.25" customHeight="1">
      <c r="F725" s="45"/>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row>
    <row r="726" spans="6:86" ht="14.25" customHeight="1">
      <c r="F726" s="45"/>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row>
    <row r="727" spans="6:86" ht="14.25" customHeight="1">
      <c r="F727" s="45"/>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row>
    <row r="728" spans="6:86" ht="14.25" customHeight="1">
      <c r="F728" s="45"/>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row>
    <row r="729" spans="6:86" ht="14.25" customHeight="1">
      <c r="F729" s="45"/>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row>
    <row r="730" spans="6:86" ht="14.25" customHeight="1">
      <c r="F730" s="45"/>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row>
    <row r="731" spans="6:86" ht="14.25" customHeight="1">
      <c r="F731" s="45"/>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row>
    <row r="732" spans="6:86" ht="14.25" customHeight="1">
      <c r="F732" s="45"/>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row>
    <row r="733" spans="6:86" ht="14.25" customHeight="1">
      <c r="F733" s="45"/>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row>
    <row r="734" spans="6:86" ht="14.25" customHeight="1">
      <c r="F734" s="45"/>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row>
    <row r="735" spans="6:86" ht="14.25" customHeight="1">
      <c r="F735" s="45"/>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row>
    <row r="736" spans="6:86" ht="14.25" customHeight="1">
      <c r="F736" s="45"/>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row>
    <row r="737" spans="6:86" ht="14.25" customHeight="1">
      <c r="F737" s="45"/>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row>
    <row r="738" spans="6:86" ht="14.25" customHeight="1">
      <c r="F738" s="45"/>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row>
    <row r="739" spans="6:86" ht="14.25" customHeight="1">
      <c r="F739" s="45"/>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row>
    <row r="740" spans="6:86" ht="14.25" customHeight="1">
      <c r="F740" s="45"/>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row>
    <row r="741" spans="6:86" ht="14.25" customHeight="1">
      <c r="F741" s="45"/>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row>
    <row r="742" spans="6:86" ht="14.25" customHeight="1">
      <c r="F742" s="45"/>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row>
    <row r="743" spans="6:86" ht="14.25" customHeight="1">
      <c r="F743" s="45"/>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row>
    <row r="744" spans="6:86" ht="14.25" customHeight="1">
      <c r="F744" s="45"/>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row>
    <row r="745" spans="6:86" ht="14.25" customHeight="1">
      <c r="F745" s="45"/>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row>
    <row r="746" spans="6:86" ht="14.25" customHeight="1">
      <c r="F746" s="45"/>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row>
    <row r="747" spans="6:86" ht="14.25" customHeight="1">
      <c r="F747" s="45"/>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row>
    <row r="748" spans="6:86" ht="14.25" customHeight="1">
      <c r="F748" s="45"/>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row>
    <row r="749" spans="6:86" ht="14.25" customHeight="1">
      <c r="F749" s="45"/>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row>
    <row r="750" spans="6:86" ht="14.25" customHeight="1">
      <c r="F750" s="45"/>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row>
    <row r="751" spans="6:86" ht="14.25" customHeight="1">
      <c r="F751" s="45"/>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row>
    <row r="752" spans="6:86" ht="14.25" customHeight="1">
      <c r="F752" s="45"/>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row>
    <row r="753" spans="6:86" ht="14.25" customHeight="1">
      <c r="F753" s="45"/>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row>
    <row r="754" spans="6:86" ht="14.25" customHeight="1">
      <c r="F754" s="45"/>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row>
    <row r="755" spans="6:86" ht="14.25" customHeight="1">
      <c r="F755" s="45"/>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row>
    <row r="756" spans="6:86" ht="14.25" customHeight="1">
      <c r="F756" s="45"/>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row>
    <row r="757" spans="6:86" ht="14.25" customHeight="1">
      <c r="F757" s="45"/>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row>
    <row r="758" spans="6:86" ht="14.25" customHeight="1">
      <c r="F758" s="45"/>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row>
    <row r="759" spans="6:86" ht="14.25" customHeight="1">
      <c r="F759" s="45"/>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row>
    <row r="760" spans="6:86" ht="14.25" customHeight="1">
      <c r="F760" s="45"/>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row>
    <row r="761" spans="6:86" ht="14.25" customHeight="1">
      <c r="F761" s="45"/>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row>
    <row r="762" spans="6:86" ht="14.25" customHeight="1">
      <c r="F762" s="45"/>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row>
    <row r="763" spans="6:86" ht="14.25" customHeight="1">
      <c r="F763" s="45"/>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row>
    <row r="764" spans="6:86" ht="14.25" customHeight="1">
      <c r="F764" s="45"/>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row>
    <row r="765" spans="6:86" ht="14.25" customHeight="1">
      <c r="F765" s="45"/>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row>
    <row r="766" spans="6:86" ht="14.25" customHeight="1">
      <c r="F766" s="45"/>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row>
    <row r="767" spans="6:86" ht="14.25" customHeight="1">
      <c r="F767" s="45"/>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row>
    <row r="768" spans="6:86" ht="14.25" customHeight="1">
      <c r="F768" s="45"/>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row>
    <row r="769" spans="6:86" ht="14.25" customHeight="1">
      <c r="F769" s="45"/>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row>
    <row r="770" spans="6:86" ht="14.25" customHeight="1">
      <c r="F770" s="45"/>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row>
    <row r="771" spans="6:86" ht="14.25" customHeight="1">
      <c r="F771" s="45"/>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row>
    <row r="772" spans="6:86" ht="14.25" customHeight="1">
      <c r="F772" s="45"/>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row>
    <row r="773" spans="6:86" ht="14.25" customHeight="1">
      <c r="F773" s="45"/>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row>
    <row r="774" spans="6:86" ht="14.25" customHeight="1">
      <c r="F774" s="45"/>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row>
    <row r="775" spans="6:86" ht="14.25" customHeight="1">
      <c r="F775" s="45"/>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row>
    <row r="776" spans="6:86" ht="14.25" customHeight="1">
      <c r="F776" s="45"/>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row>
    <row r="777" spans="6:86" ht="14.25" customHeight="1">
      <c r="F777" s="45"/>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row>
    <row r="778" spans="6:86" ht="14.25" customHeight="1">
      <c r="F778" s="45"/>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row>
    <row r="779" spans="6:86" ht="14.25" customHeight="1">
      <c r="F779" s="45"/>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row>
    <row r="780" spans="6:86" ht="14.25" customHeight="1">
      <c r="F780" s="45"/>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row>
    <row r="781" spans="6:86" ht="14.25" customHeight="1">
      <c r="F781" s="45"/>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row>
    <row r="782" spans="6:86" ht="14.25" customHeight="1">
      <c r="F782" s="45"/>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row>
    <row r="783" spans="6:86" ht="14.25" customHeight="1">
      <c r="F783" s="45"/>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row>
    <row r="784" spans="6:86" ht="14.25" customHeight="1">
      <c r="F784" s="45"/>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row>
    <row r="785" spans="6:86" ht="14.25" customHeight="1">
      <c r="F785" s="45"/>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row>
    <row r="786" spans="6:86" ht="14.25" customHeight="1">
      <c r="F786" s="45"/>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row>
    <row r="787" spans="6:86" ht="14.25" customHeight="1">
      <c r="F787" s="45"/>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row>
    <row r="788" spans="6:86" ht="14.25" customHeight="1">
      <c r="F788" s="45"/>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row>
    <row r="789" spans="6:86" ht="14.25" customHeight="1">
      <c r="F789" s="45"/>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row>
    <row r="790" spans="6:86" ht="14.25" customHeight="1">
      <c r="F790" s="45"/>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row>
    <row r="791" spans="6:86" ht="14.25" customHeight="1">
      <c r="F791" s="45"/>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row>
    <row r="792" spans="6:86" ht="14.25" customHeight="1">
      <c r="F792" s="45"/>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row>
    <row r="793" spans="6:86" ht="14.25" customHeight="1">
      <c r="F793" s="45"/>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row>
    <row r="794" spans="6:86" ht="14.25" customHeight="1">
      <c r="F794" s="45"/>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row>
    <row r="795" spans="6:86" ht="14.25" customHeight="1">
      <c r="F795" s="45"/>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row>
    <row r="796" spans="6:86" ht="14.25" customHeight="1">
      <c r="F796" s="45"/>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row>
    <row r="797" spans="6:86" ht="14.25" customHeight="1">
      <c r="F797" s="45"/>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row>
    <row r="798" spans="6:86" ht="14.25" customHeight="1">
      <c r="F798" s="45"/>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row>
    <row r="799" spans="6:86" ht="14.25" customHeight="1">
      <c r="F799" s="45"/>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row>
    <row r="800" spans="6:86" ht="14.25" customHeight="1">
      <c r="F800" s="45"/>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row>
    <row r="801" spans="6:86" ht="14.25" customHeight="1">
      <c r="F801" s="45"/>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row>
    <row r="802" spans="6:86" ht="14.25" customHeight="1">
      <c r="F802" s="45"/>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row>
    <row r="803" spans="6:86" ht="14.25" customHeight="1">
      <c r="F803" s="45"/>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row>
    <row r="804" spans="6:86" ht="14.25" customHeight="1">
      <c r="F804" s="45"/>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row>
    <row r="805" spans="6:86" ht="14.25" customHeight="1">
      <c r="F805" s="45"/>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row>
    <row r="806" spans="6:86" ht="14.25" customHeight="1">
      <c r="F806" s="45"/>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row>
    <row r="807" spans="6:86" ht="14.25" customHeight="1">
      <c r="F807" s="45"/>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row>
    <row r="808" spans="6:86" ht="14.25" customHeight="1">
      <c r="F808" s="45"/>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row>
    <row r="809" spans="6:86" ht="14.25" customHeight="1">
      <c r="F809" s="45"/>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row>
    <row r="810" spans="6:86" ht="14.25" customHeight="1">
      <c r="F810" s="45"/>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row>
    <row r="811" spans="6:86" ht="14.25" customHeight="1">
      <c r="F811" s="45"/>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row>
    <row r="812" spans="6:86" ht="14.25" customHeight="1">
      <c r="F812" s="45"/>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row>
    <row r="813" spans="6:86" ht="14.25" customHeight="1">
      <c r="F813" s="45"/>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row>
    <row r="814" spans="6:86" ht="14.25" customHeight="1">
      <c r="F814" s="45"/>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row>
    <row r="815" spans="6:86" ht="14.25" customHeight="1">
      <c r="F815" s="45"/>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row>
    <row r="816" spans="6:86" ht="14.25" customHeight="1">
      <c r="F816" s="45"/>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row>
    <row r="817" spans="6:86" ht="14.25" customHeight="1">
      <c r="F817" s="45"/>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row>
    <row r="818" spans="6:86" ht="14.25" customHeight="1">
      <c r="F818" s="45"/>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row>
    <row r="819" spans="6:86" ht="14.25" customHeight="1">
      <c r="F819" s="45"/>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row>
    <row r="820" spans="6:86" ht="14.25" customHeight="1">
      <c r="F820" s="45"/>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row>
    <row r="821" spans="6:86" ht="14.25" customHeight="1">
      <c r="F821" s="45"/>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row>
    <row r="822" spans="6:86" ht="14.25" customHeight="1">
      <c r="F822" s="45"/>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row>
    <row r="823" spans="6:86" ht="14.25" customHeight="1">
      <c r="F823" s="45"/>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row>
    <row r="824" spans="6:86" ht="14.25" customHeight="1">
      <c r="F824" s="45"/>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row>
    <row r="825" spans="6:86" ht="14.25" customHeight="1">
      <c r="F825" s="45"/>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row>
    <row r="826" spans="6:86" ht="14.25" customHeight="1">
      <c r="F826" s="45"/>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row>
    <row r="827" spans="6:86" ht="14.25" customHeight="1">
      <c r="F827" s="45"/>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row>
    <row r="828" spans="6:86" ht="14.25" customHeight="1">
      <c r="F828" s="45"/>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row>
    <row r="829" spans="6:86" ht="14.25" customHeight="1">
      <c r="F829" s="45"/>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row>
    <row r="830" spans="6:86" ht="14.25" customHeight="1">
      <c r="F830" s="45"/>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row>
    <row r="831" spans="6:86" ht="14.25" customHeight="1">
      <c r="F831" s="45"/>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row>
    <row r="832" spans="6:86" ht="14.25" customHeight="1">
      <c r="F832" s="45"/>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row>
    <row r="833" spans="6:86" ht="14.25" customHeight="1">
      <c r="F833" s="45"/>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row>
    <row r="834" spans="6:86" ht="14.25" customHeight="1">
      <c r="F834" s="45"/>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row>
    <row r="835" spans="6:86" ht="14.25" customHeight="1">
      <c r="F835" s="45"/>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row>
    <row r="836" spans="6:86" ht="14.25" customHeight="1">
      <c r="F836" s="45"/>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row>
    <row r="837" spans="6:86" ht="14.25" customHeight="1">
      <c r="F837" s="45"/>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row>
    <row r="838" spans="6:86" ht="14.25" customHeight="1">
      <c r="F838" s="45"/>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row>
    <row r="839" spans="6:86" ht="14.25" customHeight="1">
      <c r="F839" s="45"/>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row>
    <row r="840" spans="6:86" ht="14.25" customHeight="1">
      <c r="F840" s="45"/>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row>
    <row r="841" spans="6:86" ht="14.25" customHeight="1">
      <c r="F841" s="45"/>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row>
    <row r="842" spans="6:86" ht="14.25" customHeight="1">
      <c r="F842" s="45"/>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row>
    <row r="843" spans="6:86" ht="14.25" customHeight="1">
      <c r="F843" s="45"/>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row>
    <row r="844" spans="6:86" ht="14.25" customHeight="1">
      <c r="F844" s="45"/>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row>
    <row r="845" spans="6:86" ht="14.25" customHeight="1">
      <c r="F845" s="45"/>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row>
    <row r="846" spans="6:86" ht="14.25" customHeight="1">
      <c r="F846" s="45"/>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row>
    <row r="847" spans="6:86" ht="14.25" customHeight="1">
      <c r="F847" s="45"/>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row>
    <row r="848" spans="6:86" ht="14.25" customHeight="1">
      <c r="F848" s="45"/>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row>
    <row r="849" spans="6:86" ht="14.25" customHeight="1">
      <c r="F849" s="45"/>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row>
    <row r="850" spans="6:86" ht="14.25" customHeight="1">
      <c r="F850" s="45"/>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row>
    <row r="851" spans="6:86" ht="14.25" customHeight="1">
      <c r="F851" s="45"/>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row>
    <row r="852" spans="6:86" ht="14.25" customHeight="1">
      <c r="F852" s="45"/>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row>
    <row r="853" spans="6:86" ht="14.25" customHeight="1">
      <c r="F853" s="45"/>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row>
    <row r="854" spans="6:86" ht="14.25" customHeight="1">
      <c r="F854" s="45"/>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row>
    <row r="855" spans="6:86" ht="14.25" customHeight="1">
      <c r="F855" s="45"/>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row>
    <row r="856" spans="6:86" ht="14.25" customHeight="1">
      <c r="F856" s="45"/>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row>
    <row r="857" spans="6:86" ht="14.25" customHeight="1">
      <c r="F857" s="45"/>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row>
    <row r="858" spans="6:86" ht="14.25" customHeight="1">
      <c r="F858" s="45"/>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row>
    <row r="859" spans="6:86" ht="14.25" customHeight="1">
      <c r="F859" s="45"/>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row>
    <row r="860" spans="6:86" ht="14.25" customHeight="1">
      <c r="F860" s="45"/>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row>
    <row r="861" spans="6:86" ht="14.25" customHeight="1">
      <c r="F861" s="45"/>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row>
    <row r="862" spans="6:86" ht="14.25" customHeight="1">
      <c r="F862" s="45"/>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row>
    <row r="863" spans="6:86" ht="14.25" customHeight="1">
      <c r="F863" s="45"/>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row>
    <row r="864" spans="6:86" ht="14.25" customHeight="1">
      <c r="F864" s="45"/>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row>
    <row r="865" spans="6:86" ht="14.25" customHeight="1">
      <c r="F865" s="45"/>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row>
    <row r="866" spans="6:86" ht="14.25" customHeight="1">
      <c r="F866" s="45"/>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row>
    <row r="867" spans="6:86" ht="14.25" customHeight="1">
      <c r="F867" s="45"/>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row>
    <row r="868" spans="6:86" ht="14.25" customHeight="1">
      <c r="F868" s="45"/>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row>
    <row r="869" spans="6:86" ht="14.25" customHeight="1">
      <c r="F869" s="45"/>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row>
    <row r="870" spans="6:86" ht="14.25" customHeight="1">
      <c r="F870" s="45"/>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row>
    <row r="871" spans="6:86" ht="14.25" customHeight="1">
      <c r="F871" s="45"/>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row>
    <row r="872" spans="6:86" ht="14.25" customHeight="1">
      <c r="F872" s="45"/>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row>
    <row r="873" spans="6:86" ht="14.25" customHeight="1">
      <c r="F873" s="45"/>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row>
    <row r="874" spans="6:86" ht="14.25" customHeight="1">
      <c r="F874" s="45"/>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row>
    <row r="875" spans="6:86" ht="14.25" customHeight="1">
      <c r="F875" s="45"/>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row>
    <row r="876" spans="6:86" ht="14.25" customHeight="1">
      <c r="F876" s="45"/>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row>
    <row r="877" spans="6:86" ht="14.25" customHeight="1">
      <c r="F877" s="45"/>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row>
    <row r="878" spans="6:86" ht="14.25" customHeight="1">
      <c r="F878" s="45"/>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row>
    <row r="879" spans="6:86" ht="14.25" customHeight="1">
      <c r="F879" s="45"/>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row>
    <row r="880" spans="6:86" ht="14.25" customHeight="1">
      <c r="F880" s="45"/>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row>
    <row r="881" spans="6:86" ht="14.25" customHeight="1">
      <c r="F881" s="45"/>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row>
    <row r="882" spans="6:86" ht="14.25" customHeight="1">
      <c r="F882" s="45"/>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row>
    <row r="883" spans="6:86" ht="14.25" customHeight="1">
      <c r="F883" s="45"/>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row>
    <row r="884" spans="6:86" ht="14.25" customHeight="1">
      <c r="F884" s="45"/>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row>
    <row r="885" spans="6:86" ht="14.25" customHeight="1">
      <c r="F885" s="45"/>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row>
    <row r="886" spans="6:86" ht="14.25" customHeight="1">
      <c r="F886" s="45"/>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row>
    <row r="887" spans="6:86" ht="14.25" customHeight="1">
      <c r="F887" s="45"/>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row>
    <row r="888" spans="6:86" ht="14.25" customHeight="1">
      <c r="F888" s="45"/>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row>
    <row r="889" spans="6:86" ht="14.25" customHeight="1">
      <c r="F889" s="45"/>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row>
    <row r="890" spans="6:86" ht="14.25" customHeight="1">
      <c r="F890" s="45"/>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row>
    <row r="891" spans="6:86" ht="14.25" customHeight="1">
      <c r="F891" s="45"/>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row>
    <row r="892" spans="6:86" ht="14.25" customHeight="1">
      <c r="F892" s="45"/>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row>
    <row r="893" spans="6:86" ht="14.25" customHeight="1">
      <c r="F893" s="45"/>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row>
    <row r="894" spans="6:86" ht="14.25" customHeight="1">
      <c r="F894" s="45"/>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row>
    <row r="895" spans="6:86" ht="14.25" customHeight="1">
      <c r="F895" s="45"/>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row>
    <row r="896" spans="6:86" ht="14.25" customHeight="1">
      <c r="F896" s="45"/>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row>
    <row r="897" spans="6:86" ht="14.25" customHeight="1">
      <c r="F897" s="45"/>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row>
    <row r="898" spans="6:86" ht="14.25" customHeight="1">
      <c r="F898" s="45"/>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row>
    <row r="899" spans="6:86" ht="14.25" customHeight="1">
      <c r="F899" s="45"/>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row>
    <row r="900" spans="6:86" ht="14.25" customHeight="1">
      <c r="F900" s="45"/>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row>
    <row r="901" spans="6:86" ht="14.25" customHeight="1">
      <c r="F901" s="45"/>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row>
    <row r="902" spans="6:86" ht="14.25" customHeight="1">
      <c r="F902" s="45"/>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row>
    <row r="903" spans="6:86" ht="14.25" customHeight="1">
      <c r="F903" s="45"/>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row>
    <row r="904" spans="6:86" ht="14.25" customHeight="1">
      <c r="F904" s="45"/>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row>
    <row r="905" spans="6:86" ht="14.25" customHeight="1">
      <c r="F905" s="45"/>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row>
    <row r="906" spans="6:86" ht="14.25" customHeight="1">
      <c r="F906" s="45"/>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row>
    <row r="907" spans="6:86" ht="14.25" customHeight="1">
      <c r="F907" s="45"/>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row>
    <row r="908" spans="6:86" ht="14.25" customHeight="1">
      <c r="F908" s="45"/>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row>
    <row r="909" spans="6:86" ht="14.25" customHeight="1">
      <c r="F909" s="45"/>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row>
    <row r="910" spans="6:86" ht="14.25" customHeight="1">
      <c r="F910" s="45"/>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row>
    <row r="911" spans="6:86" ht="14.25" customHeight="1">
      <c r="F911" s="45"/>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row>
    <row r="912" spans="6:86" ht="14.25" customHeight="1">
      <c r="F912" s="45"/>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row>
    <row r="913" spans="6:86" ht="14.25" customHeight="1">
      <c r="F913" s="45"/>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row>
    <row r="914" spans="6:86" ht="14.25" customHeight="1">
      <c r="F914" s="45"/>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row>
    <row r="915" spans="6:86" ht="14.25" customHeight="1">
      <c r="F915" s="45"/>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row>
    <row r="916" spans="6:86" ht="14.25" customHeight="1">
      <c r="F916" s="45"/>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row>
    <row r="917" spans="6:86" ht="14.25" customHeight="1">
      <c r="F917" s="45"/>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row>
    <row r="918" spans="6:86" ht="14.25" customHeight="1">
      <c r="F918" s="45"/>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row>
    <row r="919" spans="6:86" ht="14.25" customHeight="1">
      <c r="F919" s="45"/>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row>
    <row r="920" spans="6:86" ht="14.25" customHeight="1">
      <c r="F920" s="45"/>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row>
    <row r="921" spans="6:86" ht="14.25" customHeight="1">
      <c r="F921" s="45"/>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row>
    <row r="922" spans="6:86" ht="14.25" customHeight="1">
      <c r="F922" s="45"/>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row>
    <row r="923" spans="6:86" ht="14.25" customHeight="1">
      <c r="F923" s="45"/>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row>
    <row r="924" spans="6:86" ht="14.25" customHeight="1">
      <c r="F924" s="45"/>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row>
    <row r="925" spans="6:86" ht="14.25" customHeight="1">
      <c r="F925" s="45"/>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row>
    <row r="926" spans="6:86" ht="14.25" customHeight="1">
      <c r="F926" s="45"/>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row>
    <row r="927" spans="6:86" ht="14.25" customHeight="1">
      <c r="F927" s="45"/>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row>
    <row r="928" spans="6:86" ht="14.25" customHeight="1">
      <c r="F928" s="45"/>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row>
    <row r="929" spans="6:86" ht="14.25" customHeight="1">
      <c r="F929" s="45"/>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row>
    <row r="930" spans="6:86" ht="14.25" customHeight="1">
      <c r="F930" s="45"/>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row>
    <row r="931" spans="6:86" ht="14.25" customHeight="1">
      <c r="F931" s="45"/>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row>
    <row r="932" spans="6:86" ht="14.25" customHeight="1">
      <c r="F932" s="45"/>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row>
    <row r="933" spans="6:86" ht="14.25" customHeight="1">
      <c r="F933" s="45"/>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row>
    <row r="934" spans="6:86" ht="14.25" customHeight="1">
      <c r="F934" s="45"/>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row>
    <row r="935" spans="6:86" ht="14.25" customHeight="1">
      <c r="F935" s="45"/>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row>
    <row r="936" spans="6:86" ht="14.25" customHeight="1">
      <c r="F936" s="45"/>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row>
    <row r="937" spans="6:86" ht="14.25" customHeight="1">
      <c r="F937" s="45"/>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row>
    <row r="938" spans="6:86" ht="14.25" customHeight="1">
      <c r="F938" s="45"/>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row>
    <row r="939" spans="6:86" ht="14.25" customHeight="1">
      <c r="F939" s="45"/>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row>
    <row r="940" spans="6:86" ht="14.25" customHeight="1">
      <c r="F940" s="45"/>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row>
    <row r="941" spans="6:86" ht="14.25" customHeight="1">
      <c r="F941" s="45"/>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row>
    <row r="942" spans="6:86" ht="14.25" customHeight="1">
      <c r="F942" s="45"/>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row>
    <row r="943" spans="6:86" ht="14.25" customHeight="1">
      <c r="F943" s="45"/>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row>
    <row r="944" spans="6:86" ht="14.25" customHeight="1">
      <c r="F944" s="45"/>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row>
    <row r="945" spans="6:86" ht="14.25" customHeight="1">
      <c r="F945" s="45"/>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row>
    <row r="946" spans="6:86" ht="14.25" customHeight="1">
      <c r="F946" s="45"/>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row>
    <row r="947" spans="6:86" ht="14.25" customHeight="1">
      <c r="F947" s="45"/>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row>
    <row r="948" spans="6:86" ht="14.25" customHeight="1">
      <c r="F948" s="45"/>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row>
    <row r="949" spans="6:86" ht="14.25" customHeight="1">
      <c r="F949" s="45"/>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row>
    <row r="950" spans="6:86" ht="14.25" customHeight="1">
      <c r="F950" s="45"/>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row>
    <row r="951" spans="6:86" ht="14.25" customHeight="1">
      <c r="F951" s="45"/>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row>
    <row r="952" spans="6:86" ht="14.25" customHeight="1">
      <c r="F952" s="45"/>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row>
    <row r="953" spans="6:86" ht="14.25" customHeight="1">
      <c r="F953" s="45"/>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row>
    <row r="954" spans="6:86" ht="14.25" customHeight="1">
      <c r="F954" s="45"/>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row>
    <row r="955" spans="6:86" ht="14.25" customHeight="1">
      <c r="F955" s="45"/>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row>
    <row r="956" spans="6:86" ht="14.25" customHeight="1">
      <c r="F956" s="45"/>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row>
    <row r="957" spans="6:86" ht="14.25" customHeight="1">
      <c r="F957" s="45"/>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row>
    <row r="958" spans="6:86" ht="14.25" customHeight="1">
      <c r="F958" s="45"/>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row>
    <row r="959" spans="6:86" ht="14.25" customHeight="1">
      <c r="F959" s="45"/>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row>
    <row r="960" spans="6:86" ht="14.25" customHeight="1">
      <c r="F960" s="45"/>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row>
    <row r="961" spans="6:86" ht="14.25" customHeight="1">
      <c r="F961" s="45"/>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row>
    <row r="962" spans="6:86" ht="14.25" customHeight="1">
      <c r="F962" s="45"/>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row>
    <row r="963" spans="6:86" ht="14.25" customHeight="1">
      <c r="F963" s="45"/>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row>
    <row r="964" spans="6:86" ht="14.25" customHeight="1">
      <c r="F964" s="45"/>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row>
    <row r="965" spans="6:86" ht="14.25" customHeight="1">
      <c r="F965" s="45"/>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row>
    <row r="966" spans="6:86" ht="14.25" customHeight="1">
      <c r="F966" s="45"/>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row>
    <row r="967" spans="6:86" ht="14.25" customHeight="1">
      <c r="F967" s="45"/>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row>
    <row r="968" spans="6:86" ht="14.25" customHeight="1">
      <c r="F968" s="45"/>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row>
    <row r="969" spans="6:86" ht="14.25" customHeight="1">
      <c r="F969" s="45"/>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row>
    <row r="970" spans="6:86" ht="14.25" customHeight="1">
      <c r="F970" s="45"/>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row>
    <row r="971" spans="6:86" ht="14.25" customHeight="1">
      <c r="F971" s="45"/>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row>
    <row r="972" spans="6:86" ht="14.25" customHeight="1">
      <c r="F972" s="45"/>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row>
    <row r="973" spans="6:86" ht="14.25" customHeight="1">
      <c r="F973" s="45"/>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row>
    <row r="974" spans="6:86" ht="14.25" customHeight="1">
      <c r="F974" s="45"/>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row>
    <row r="975" spans="6:86" ht="14.25" customHeight="1">
      <c r="F975" s="45"/>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row>
    <row r="976" spans="6:86" ht="14.25" customHeight="1">
      <c r="F976" s="45"/>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row>
    <row r="977" spans="6:86" ht="14.25" customHeight="1">
      <c r="F977" s="45"/>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row>
    <row r="978" spans="6:86" ht="14.25" customHeight="1">
      <c r="F978" s="45"/>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row>
    <row r="979" spans="6:86" ht="14.25" customHeight="1">
      <c r="F979" s="45"/>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row>
    <row r="980" spans="6:86" ht="14.25" customHeight="1">
      <c r="F980" s="45"/>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row>
    <row r="981" spans="6:86" ht="14.25" customHeight="1">
      <c r="F981" s="45"/>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row>
    <row r="982" spans="6:86" ht="14.25" customHeight="1">
      <c r="F982" s="45"/>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row>
    <row r="983" spans="6:86" ht="14.25" customHeight="1">
      <c r="F983" s="45"/>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row>
    <row r="984" spans="6:86" ht="14.25" customHeight="1">
      <c r="F984" s="45"/>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row>
    <row r="985" spans="6:86" ht="14.25" customHeight="1">
      <c r="F985" s="45"/>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row>
    <row r="986" spans="6:86" ht="14.25" customHeight="1">
      <c r="F986" s="45"/>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row>
    <row r="987" spans="6:86" ht="14.25" customHeight="1">
      <c r="F987" s="45"/>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row>
    <row r="988" spans="6:86" ht="14.25" customHeight="1">
      <c r="F988" s="45"/>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row>
    <row r="989" spans="6:86" ht="14.25" customHeight="1">
      <c r="F989" s="45"/>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row>
    <row r="990" spans="6:86" ht="14.25" customHeight="1">
      <c r="F990" s="45"/>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row>
    <row r="991" spans="6:86" ht="14.25" customHeight="1">
      <c r="F991" s="45"/>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row>
    <row r="992" spans="6:86" ht="14.25" customHeight="1">
      <c r="F992" s="45"/>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row>
    <row r="993" spans="6:86" ht="14.25" customHeight="1">
      <c r="F993" s="45"/>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row>
    <row r="994" spans="6:86" ht="14.25" customHeight="1">
      <c r="F994" s="45"/>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row>
    <row r="995" spans="6:86" ht="14.25" customHeight="1">
      <c r="F995" s="45"/>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row>
    <row r="996" spans="6:86" ht="14.25" customHeight="1">
      <c r="F996" s="45"/>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row>
    <row r="997" spans="6:86" ht="14.25" customHeight="1">
      <c r="F997" s="45"/>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row>
    <row r="998" spans="6:86" ht="14.25" customHeight="1">
      <c r="F998" s="45"/>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row>
    <row r="999" spans="6:86" ht="14.25" customHeight="1">
      <c r="F999" s="45"/>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row>
    <row r="1000" spans="6:86" ht="14.25" customHeight="1">
      <c r="F1000" s="45"/>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row>
    <row r="1001" spans="6:86" ht="14.25" customHeight="1">
      <c r="F1001" s="45"/>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row>
    <row r="1002" spans="6:86" ht="14.25" customHeight="1">
      <c r="F1002" s="45"/>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row>
  </sheetData>
  <mergeCells count="49">
    <mergeCell ref="A50:G50"/>
    <mergeCell ref="E54:G54"/>
    <mergeCell ref="E55:G55"/>
    <mergeCell ref="B51:C51"/>
    <mergeCell ref="E51:G51"/>
    <mergeCell ref="B52:C52"/>
    <mergeCell ref="E52:G52"/>
    <mergeCell ref="A53:G53"/>
    <mergeCell ref="B54:C54"/>
    <mergeCell ref="B55:C55"/>
    <mergeCell ref="B45:C45"/>
    <mergeCell ref="E45:G45"/>
    <mergeCell ref="A47:G47"/>
    <mergeCell ref="A48:G48"/>
    <mergeCell ref="B49:C49"/>
    <mergeCell ref="E49:G49"/>
    <mergeCell ref="B33:E33"/>
    <mergeCell ref="E43:G43"/>
    <mergeCell ref="E44:G44"/>
    <mergeCell ref="B34:E34"/>
    <mergeCell ref="B35:E35"/>
    <mergeCell ref="B36:E36"/>
    <mergeCell ref="A40:G40"/>
    <mergeCell ref="A41:G41"/>
    <mergeCell ref="A43:C43"/>
    <mergeCell ref="B44:C44"/>
    <mergeCell ref="B37:E37"/>
    <mergeCell ref="B38:E38"/>
    <mergeCell ref="B39:E39"/>
    <mergeCell ref="B28:E28"/>
    <mergeCell ref="B29:E29"/>
    <mergeCell ref="B30:E30"/>
    <mergeCell ref="B31:E31"/>
    <mergeCell ref="B32:E32"/>
    <mergeCell ref="B23:E23"/>
    <mergeCell ref="B24:E24"/>
    <mergeCell ref="B25:E25"/>
    <mergeCell ref="B26:E26"/>
    <mergeCell ref="B27:E27"/>
    <mergeCell ref="B18:E18"/>
    <mergeCell ref="B19:E19"/>
    <mergeCell ref="B20:E20"/>
    <mergeCell ref="B21:E21"/>
    <mergeCell ref="B22:E22"/>
    <mergeCell ref="A1:G1"/>
    <mergeCell ref="A2:G2"/>
    <mergeCell ref="A3:C3"/>
    <mergeCell ref="A10:G10"/>
    <mergeCell ref="A17:G17"/>
  </mergeCells>
  <conditionalFormatting sqref="F19:F24">
    <cfRule type="expression" dxfId="14" priority="7">
      <formula>$F19="No"</formula>
    </cfRule>
    <cfRule type="expression" dxfId="13" priority="8">
      <formula>$F19="Yes"</formula>
    </cfRule>
  </conditionalFormatting>
  <conditionalFormatting sqref="F25 F35">
    <cfRule type="expression" dxfId="12" priority="9">
      <formula>$F25="Monolithic"</formula>
    </cfRule>
  </conditionalFormatting>
  <conditionalFormatting sqref="F25">
    <cfRule type="expression" dxfId="11" priority="10">
      <formula>$F25="Require More Info."</formula>
    </cfRule>
  </conditionalFormatting>
  <conditionalFormatting sqref="F33:F34">
    <cfRule type="expression" dxfId="10" priority="11">
      <formula>$F33="Yes"</formula>
    </cfRule>
  </conditionalFormatting>
  <conditionalFormatting sqref="F33:F36">
    <cfRule type="expression" dxfId="9" priority="12">
      <formula>$F33="No"</formula>
    </cfRule>
  </conditionalFormatting>
  <conditionalFormatting sqref="F34:F35">
    <cfRule type="expression" dxfId="8" priority="13">
      <formula>$F34="Require More Info."</formula>
    </cfRule>
  </conditionalFormatting>
  <conditionalFormatting sqref="F36">
    <cfRule type="expression" dxfId="7" priority="14">
      <formula>$F36="Yes"</formula>
    </cfRule>
    <cfRule type="expression" dxfId="6" priority="15">
      <formula>$F36="Require More Info. "</formula>
    </cfRule>
  </conditionalFormatting>
  <conditionalFormatting sqref="F38">
    <cfRule type="expression" dxfId="5" priority="3">
      <formula>$F38="No"</formula>
    </cfRule>
    <cfRule type="expression" dxfId="4" priority="4">
      <formula>$F38="Yes"</formula>
    </cfRule>
  </conditionalFormatting>
  <conditionalFormatting sqref="F39">
    <cfRule type="expression" dxfId="3" priority="1">
      <formula>$F39="No"</formula>
    </cfRule>
    <cfRule type="expression" dxfId="2" priority="2">
      <formula>$F39="Yes"</formula>
    </cfRule>
  </conditionalFormatting>
  <dataValidations count="6">
    <dataValidation type="list" allowBlank="1" showInputMessage="1" showErrorMessage="1" prompt="Use Remarks Column  - Please enter the user growth in &quot;Remarks&quot; Column" sqref="F32" xr:uid="{00000000-0002-0000-0100-000000000000}">
      <formula1>"5%,10%,15%,20%,25%,30%,35%,40%,50%,Other"</formula1>
    </dataValidation>
    <dataValidation type="list" allowBlank="1" showErrorMessage="1" sqref="F19 F21:F22 F33 F38:F39" xr:uid="{00000000-0002-0000-0100-000001000000}">
      <formula1>"Yes,No"</formula1>
    </dataValidation>
    <dataValidation type="list" allowBlank="1" showErrorMessage="1" sqref="F35" xr:uid="{00000000-0002-0000-0100-000002000000}">
      <formula1>"Yes,No,Require More Info."</formula1>
    </dataValidation>
    <dataValidation type="list" allowBlank="1" showInputMessage="1" showErrorMessage="1" prompt="Refer Remarks Column - Please mentioned the exptected data growth quater on quater." sqref="F27:F28" xr:uid="{00000000-0002-0000-0100-000003000000}">
      <formula1>"5%,10%,15%,20%,25%,30%,35%,40%,50%,Other"</formula1>
    </dataValidation>
    <dataValidation type="list" allowBlank="1" showErrorMessage="1" sqref="F25" xr:uid="{00000000-0002-0000-0100-000004000000}">
      <formula1>"Monolithic,Microservices,Require More Info."</formula1>
    </dataValidation>
    <dataValidation type="list" allowBlank="1" showErrorMessage="1" sqref="F20" xr:uid="{00000000-0002-0000-0100-000005000000}">
      <formula1>"Shastri Park-Delhi,Pune-Maharashtra,Bhubaneshwar-Odisha,Hyderabad-Telangana,Other"</formula1>
    </dataValidation>
  </dataValidation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1000"/>
  <sheetViews>
    <sheetView topLeftCell="A97" workbookViewId="0">
      <selection activeCell="G120" sqref="G120"/>
    </sheetView>
  </sheetViews>
  <sheetFormatPr defaultColWidth="14.42578125" defaultRowHeight="15" customHeight="1"/>
  <cols>
    <col min="1" max="18" width="9.140625" customWidth="1"/>
    <col min="19" max="19" width="17.42578125" customWidth="1"/>
    <col min="20" max="26" width="9.140625" customWidth="1"/>
  </cols>
  <sheetData>
    <row r="1" spans="1:26" ht="14.25" customHeight="1">
      <c r="A1" s="170" t="s">
        <v>89</v>
      </c>
      <c r="B1" s="144"/>
      <c r="C1" s="144"/>
      <c r="D1" s="144"/>
      <c r="E1" s="144"/>
      <c r="F1" s="144"/>
      <c r="G1" s="144"/>
      <c r="H1" s="144"/>
      <c r="I1" s="144"/>
      <c r="J1" s="144"/>
      <c r="K1" s="144"/>
      <c r="L1" s="144"/>
      <c r="M1" s="144"/>
      <c r="N1" s="144"/>
      <c r="O1" s="144"/>
      <c r="P1" s="144"/>
      <c r="Q1" s="144"/>
      <c r="R1" s="144"/>
      <c r="S1" s="132"/>
      <c r="T1" s="3"/>
      <c r="U1" s="3"/>
      <c r="V1" s="3"/>
      <c r="W1" s="3"/>
      <c r="X1" s="3"/>
      <c r="Y1" s="3"/>
      <c r="Z1" s="3"/>
    </row>
    <row r="2" spans="1:26" ht="29.25" customHeight="1">
      <c r="A2" s="171" t="s">
        <v>90</v>
      </c>
      <c r="B2" s="144"/>
      <c r="C2" s="144"/>
      <c r="D2" s="144"/>
      <c r="E2" s="144"/>
      <c r="F2" s="144"/>
      <c r="G2" s="144"/>
      <c r="H2" s="144"/>
      <c r="I2" s="144"/>
      <c r="J2" s="144"/>
      <c r="K2" s="144"/>
      <c r="L2" s="144"/>
      <c r="M2" s="144"/>
      <c r="N2" s="144"/>
      <c r="O2" s="144"/>
      <c r="P2" s="144"/>
      <c r="Q2" s="144"/>
      <c r="R2" s="144"/>
      <c r="S2" s="132"/>
      <c r="T2" s="3"/>
      <c r="U2" s="3"/>
      <c r="V2" s="3"/>
      <c r="W2" s="3"/>
      <c r="X2" s="3"/>
      <c r="Y2" s="3"/>
      <c r="Z2" s="3"/>
    </row>
    <row r="3" spans="1:26" ht="14.25" customHeight="1">
      <c r="A3" s="46"/>
      <c r="B3" s="3"/>
      <c r="C3" s="3"/>
      <c r="D3" s="3"/>
      <c r="E3" s="3"/>
      <c r="F3" s="3"/>
      <c r="G3" s="3"/>
      <c r="H3" s="3"/>
      <c r="I3" s="3"/>
      <c r="J3" s="3"/>
      <c r="K3" s="3"/>
      <c r="L3" s="3"/>
      <c r="M3" s="3"/>
      <c r="N3" s="3"/>
      <c r="O3" s="3"/>
      <c r="P3" s="3"/>
      <c r="Q3" s="3"/>
      <c r="R3" s="3"/>
      <c r="S3" s="47"/>
      <c r="T3" s="3"/>
      <c r="U3" s="3"/>
      <c r="V3" s="3"/>
      <c r="W3" s="3"/>
      <c r="X3" s="3"/>
      <c r="Y3" s="3"/>
      <c r="Z3" s="3"/>
    </row>
    <row r="4" spans="1:26" ht="14.25" customHeight="1">
      <c r="A4" s="46"/>
      <c r="B4" s="3"/>
      <c r="C4" s="3"/>
      <c r="D4" s="3"/>
      <c r="E4" s="3"/>
      <c r="F4" s="3"/>
      <c r="G4" s="3"/>
      <c r="H4" s="3"/>
      <c r="I4" s="3"/>
      <c r="J4" s="3"/>
      <c r="K4" s="3"/>
      <c r="L4" s="3"/>
      <c r="M4" s="3"/>
      <c r="N4" s="3"/>
      <c r="O4" s="3"/>
      <c r="P4" s="3"/>
      <c r="Q4" s="3"/>
      <c r="R4" s="3"/>
      <c r="S4" s="47"/>
      <c r="T4" s="3"/>
      <c r="U4" s="3"/>
      <c r="V4" s="3"/>
      <c r="W4" s="3"/>
      <c r="X4" s="3"/>
      <c r="Y4" s="3"/>
      <c r="Z4" s="3"/>
    </row>
    <row r="5" spans="1:26" ht="14.25" customHeight="1">
      <c r="A5" s="46"/>
      <c r="B5" s="3"/>
      <c r="C5" s="3"/>
      <c r="D5" s="3"/>
      <c r="E5" s="3"/>
      <c r="F5" s="3"/>
      <c r="G5" s="3"/>
      <c r="H5" s="3"/>
      <c r="I5" s="3"/>
      <c r="J5" s="3"/>
      <c r="K5" s="3"/>
      <c r="L5" s="3"/>
      <c r="M5" s="3"/>
      <c r="N5" s="3"/>
      <c r="O5" s="3"/>
      <c r="P5" s="3"/>
      <c r="Q5" s="3"/>
      <c r="R5" s="3"/>
      <c r="S5" s="47"/>
      <c r="T5" s="3"/>
      <c r="U5" s="3"/>
      <c r="V5" s="3"/>
      <c r="W5" s="3"/>
      <c r="X5" s="3"/>
      <c r="Y5" s="3"/>
      <c r="Z5" s="3"/>
    </row>
    <row r="6" spans="1:26" ht="14.25" customHeight="1">
      <c r="A6" s="46"/>
      <c r="B6" s="3"/>
      <c r="C6" s="3"/>
      <c r="D6" s="3"/>
      <c r="E6" s="3"/>
      <c r="F6" s="3"/>
      <c r="G6" s="3"/>
      <c r="H6" s="3"/>
      <c r="I6" s="3"/>
      <c r="J6" s="3"/>
      <c r="K6" s="3"/>
      <c r="L6" s="3"/>
      <c r="M6" s="3"/>
      <c r="N6" s="3"/>
      <c r="O6" s="3"/>
      <c r="P6" s="3"/>
      <c r="Q6" s="3"/>
      <c r="R6" s="3"/>
      <c r="S6" s="47"/>
      <c r="T6" s="3"/>
      <c r="U6" s="3"/>
      <c r="V6" s="3"/>
      <c r="W6" s="3"/>
      <c r="X6" s="3"/>
      <c r="Y6" s="3"/>
      <c r="Z6" s="3"/>
    </row>
    <row r="7" spans="1:26" ht="14.25" customHeight="1">
      <c r="A7" s="46"/>
      <c r="B7" s="3"/>
      <c r="C7" s="3"/>
      <c r="D7" s="3"/>
      <c r="E7" s="3"/>
      <c r="F7" s="3"/>
      <c r="G7" s="3"/>
      <c r="H7" s="3"/>
      <c r="I7" s="3"/>
      <c r="J7" s="3"/>
      <c r="K7" s="3"/>
      <c r="L7" s="3"/>
      <c r="M7" s="3"/>
      <c r="N7" s="3"/>
      <c r="O7" s="3"/>
      <c r="P7" s="3"/>
      <c r="Q7" s="3"/>
      <c r="R7" s="3"/>
      <c r="S7" s="47"/>
      <c r="T7" s="3"/>
      <c r="U7" s="3"/>
      <c r="V7" s="3"/>
      <c r="W7" s="3"/>
      <c r="X7" s="3"/>
      <c r="Y7" s="3"/>
      <c r="Z7" s="3"/>
    </row>
    <row r="8" spans="1:26" ht="14.25" customHeight="1">
      <c r="A8" s="46"/>
      <c r="B8" s="3"/>
      <c r="C8" s="3"/>
      <c r="D8" s="3"/>
      <c r="E8" s="3"/>
      <c r="F8" s="3"/>
      <c r="G8" s="3"/>
      <c r="H8" s="3"/>
      <c r="I8" s="3"/>
      <c r="J8" s="3"/>
      <c r="K8" s="3"/>
      <c r="L8" s="3"/>
      <c r="M8" s="3"/>
      <c r="N8" s="3"/>
      <c r="O8" s="3"/>
      <c r="P8" s="3"/>
      <c r="Q8" s="3"/>
      <c r="R8" s="3"/>
      <c r="S8" s="47"/>
      <c r="T8" s="3"/>
      <c r="U8" s="3"/>
      <c r="V8" s="3"/>
      <c r="W8" s="3"/>
      <c r="X8" s="3"/>
      <c r="Y8" s="3"/>
      <c r="Z8" s="3"/>
    </row>
    <row r="9" spans="1:26" ht="14.25" customHeight="1">
      <c r="A9" s="46"/>
      <c r="B9" s="3"/>
      <c r="C9" s="3"/>
      <c r="D9" s="3"/>
      <c r="E9" s="3"/>
      <c r="F9" s="3"/>
      <c r="G9" s="3"/>
      <c r="H9" s="3"/>
      <c r="I9" s="3"/>
      <c r="J9" s="3"/>
      <c r="K9" s="3"/>
      <c r="L9" s="3"/>
      <c r="M9" s="3"/>
      <c r="N9" s="3"/>
      <c r="O9" s="3"/>
      <c r="P9" s="3"/>
      <c r="Q9" s="3"/>
      <c r="R9" s="3"/>
      <c r="S9" s="47"/>
      <c r="T9" s="3"/>
      <c r="U9" s="3"/>
      <c r="V9" s="3"/>
      <c r="W9" s="3"/>
      <c r="X9" s="3"/>
      <c r="Y9" s="3"/>
      <c r="Z9" s="3"/>
    </row>
    <row r="10" spans="1:26" ht="14.25" customHeight="1">
      <c r="A10" s="46"/>
      <c r="B10" s="3"/>
      <c r="C10" s="3"/>
      <c r="D10" s="3"/>
      <c r="E10" s="3"/>
      <c r="F10" s="3"/>
      <c r="G10" s="3"/>
      <c r="H10" s="3"/>
      <c r="I10" s="3"/>
      <c r="J10" s="3"/>
      <c r="K10" s="3"/>
      <c r="L10" s="3"/>
      <c r="M10" s="3"/>
      <c r="N10" s="3"/>
      <c r="O10" s="3"/>
      <c r="P10" s="3"/>
      <c r="Q10" s="3"/>
      <c r="R10" s="3"/>
      <c r="S10" s="47"/>
      <c r="T10" s="3"/>
      <c r="U10" s="3"/>
      <c r="V10" s="3"/>
      <c r="W10" s="3"/>
      <c r="X10" s="3"/>
      <c r="Y10" s="3"/>
      <c r="Z10" s="3"/>
    </row>
    <row r="11" spans="1:26" ht="14.25" customHeight="1">
      <c r="A11" s="46"/>
      <c r="B11" s="3"/>
      <c r="C11" s="3"/>
      <c r="D11" s="3"/>
      <c r="E11" s="3"/>
      <c r="F11" s="3"/>
      <c r="G11" s="3"/>
      <c r="H11" s="3"/>
      <c r="I11" s="3"/>
      <c r="J11" s="3"/>
      <c r="K11" s="3"/>
      <c r="L11" s="3"/>
      <c r="M11" s="3"/>
      <c r="N11" s="3"/>
      <c r="O11" s="3"/>
      <c r="P11" s="3"/>
      <c r="Q11" s="3"/>
      <c r="R11" s="3"/>
      <c r="S11" s="47"/>
      <c r="T11" s="3"/>
      <c r="U11" s="3"/>
      <c r="V11" s="3"/>
      <c r="W11" s="3"/>
      <c r="X11" s="3"/>
      <c r="Y11" s="3"/>
      <c r="Z11" s="3"/>
    </row>
    <row r="12" spans="1:26" ht="14.25" customHeight="1">
      <c r="A12" s="46"/>
      <c r="B12" s="3"/>
      <c r="C12" s="3"/>
      <c r="D12" s="3"/>
      <c r="E12" s="3"/>
      <c r="F12" s="3"/>
      <c r="G12" s="3"/>
      <c r="H12" s="3"/>
      <c r="I12" s="3"/>
      <c r="J12" s="3"/>
      <c r="K12" s="3"/>
      <c r="L12" s="3"/>
      <c r="M12" s="3"/>
      <c r="N12" s="3"/>
      <c r="O12" s="3"/>
      <c r="P12" s="3"/>
      <c r="Q12" s="3"/>
      <c r="R12" s="3"/>
      <c r="S12" s="47"/>
      <c r="T12" s="3"/>
      <c r="U12" s="3"/>
      <c r="V12" s="3"/>
      <c r="W12" s="3"/>
      <c r="X12" s="3"/>
      <c r="Y12" s="3"/>
      <c r="Z12" s="3"/>
    </row>
    <row r="13" spans="1:26" ht="14.25" customHeight="1">
      <c r="A13" s="46"/>
      <c r="B13" s="3"/>
      <c r="C13" s="3"/>
      <c r="D13" s="3"/>
      <c r="E13" s="3"/>
      <c r="F13" s="3"/>
      <c r="G13" s="3"/>
      <c r="H13" s="3"/>
      <c r="I13" s="3"/>
      <c r="J13" s="3"/>
      <c r="K13" s="3"/>
      <c r="L13" s="3"/>
      <c r="M13" s="3"/>
      <c r="N13" s="3"/>
      <c r="O13" s="3"/>
      <c r="P13" s="3"/>
      <c r="Q13" s="3"/>
      <c r="R13" s="3"/>
      <c r="S13" s="47"/>
      <c r="T13" s="3"/>
      <c r="U13" s="3"/>
      <c r="V13" s="3"/>
      <c r="W13" s="3"/>
      <c r="X13" s="3"/>
      <c r="Y13" s="3"/>
      <c r="Z13" s="3"/>
    </row>
    <row r="14" spans="1:26" ht="14.25" customHeight="1">
      <c r="A14" s="46"/>
      <c r="B14" s="3"/>
      <c r="C14" s="3"/>
      <c r="D14" s="3"/>
      <c r="E14" s="3"/>
      <c r="F14" s="3"/>
      <c r="G14" s="3"/>
      <c r="H14" s="3"/>
      <c r="I14" s="3"/>
      <c r="J14" s="3"/>
      <c r="K14" s="3"/>
      <c r="L14" s="3"/>
      <c r="M14" s="3"/>
      <c r="N14" s="3"/>
      <c r="O14" s="3"/>
      <c r="P14" s="3"/>
      <c r="Q14" s="3"/>
      <c r="R14" s="3"/>
      <c r="S14" s="47"/>
      <c r="T14" s="3"/>
      <c r="U14" s="3"/>
      <c r="V14" s="3"/>
      <c r="W14" s="3"/>
      <c r="X14" s="3"/>
      <c r="Y14" s="3"/>
      <c r="Z14" s="3"/>
    </row>
    <row r="15" spans="1:26" ht="14.25" customHeight="1">
      <c r="A15" s="46"/>
      <c r="B15" s="3"/>
      <c r="C15" s="3"/>
      <c r="D15" s="3"/>
      <c r="E15" s="3"/>
      <c r="F15" s="3"/>
      <c r="G15" s="3"/>
      <c r="H15" s="3"/>
      <c r="I15" s="3"/>
      <c r="J15" s="3"/>
      <c r="K15" s="3"/>
      <c r="L15" s="3"/>
      <c r="M15" s="3"/>
      <c r="N15" s="3"/>
      <c r="O15" s="3"/>
      <c r="P15" s="3"/>
      <c r="Q15" s="3"/>
      <c r="R15" s="3"/>
      <c r="S15" s="47"/>
      <c r="T15" s="3"/>
      <c r="U15" s="3"/>
      <c r="V15" s="3"/>
      <c r="W15" s="3"/>
      <c r="X15" s="3"/>
      <c r="Y15" s="3"/>
      <c r="Z15" s="3"/>
    </row>
    <row r="16" spans="1:26" ht="14.25" customHeight="1">
      <c r="A16" s="46"/>
      <c r="B16" s="3"/>
      <c r="C16" s="3"/>
      <c r="D16" s="3"/>
      <c r="E16" s="3"/>
      <c r="F16" s="3"/>
      <c r="G16" s="3"/>
      <c r="H16" s="3"/>
      <c r="I16" s="3"/>
      <c r="J16" s="3"/>
      <c r="K16" s="3"/>
      <c r="L16" s="3"/>
      <c r="M16" s="3"/>
      <c r="N16" s="3"/>
      <c r="O16" s="3"/>
      <c r="P16" s="3"/>
      <c r="Q16" s="3"/>
      <c r="R16" s="3"/>
      <c r="S16" s="47"/>
      <c r="T16" s="3"/>
      <c r="U16" s="3"/>
      <c r="V16" s="3"/>
      <c r="W16" s="3"/>
      <c r="X16" s="3"/>
      <c r="Y16" s="3"/>
      <c r="Z16" s="3"/>
    </row>
    <row r="17" spans="1:26" ht="14.25" customHeight="1">
      <c r="A17" s="46"/>
      <c r="B17" s="3"/>
      <c r="C17" s="3"/>
      <c r="D17" s="3"/>
      <c r="E17" s="3"/>
      <c r="F17" s="3"/>
      <c r="G17" s="3"/>
      <c r="H17" s="3"/>
      <c r="I17" s="3"/>
      <c r="J17" s="3"/>
      <c r="K17" s="3"/>
      <c r="L17" s="3"/>
      <c r="M17" s="3"/>
      <c r="N17" s="3"/>
      <c r="O17" s="3"/>
      <c r="P17" s="3"/>
      <c r="Q17" s="3"/>
      <c r="R17" s="3"/>
      <c r="S17" s="47"/>
      <c r="T17" s="3"/>
      <c r="U17" s="3"/>
      <c r="V17" s="3"/>
      <c r="W17" s="3"/>
      <c r="X17" s="3"/>
      <c r="Y17" s="3"/>
      <c r="Z17" s="3"/>
    </row>
    <row r="18" spans="1:26" ht="14.25" customHeight="1">
      <c r="A18" s="46"/>
      <c r="B18" s="3"/>
      <c r="C18" s="3"/>
      <c r="D18" s="3"/>
      <c r="E18" s="3"/>
      <c r="F18" s="3"/>
      <c r="G18" s="3"/>
      <c r="H18" s="3"/>
      <c r="I18" s="3"/>
      <c r="J18" s="3"/>
      <c r="K18" s="3"/>
      <c r="L18" s="3"/>
      <c r="M18" s="3"/>
      <c r="N18" s="3"/>
      <c r="O18" s="3"/>
      <c r="P18" s="3"/>
      <c r="Q18" s="3"/>
      <c r="R18" s="3"/>
      <c r="S18" s="47"/>
      <c r="T18" s="3"/>
      <c r="U18" s="3"/>
      <c r="V18" s="3"/>
      <c r="W18" s="3"/>
      <c r="X18" s="3"/>
      <c r="Y18" s="3"/>
      <c r="Z18" s="3"/>
    </row>
    <row r="19" spans="1:26" ht="14.25" customHeight="1">
      <c r="A19" s="46"/>
      <c r="B19" s="3"/>
      <c r="C19" s="3"/>
      <c r="D19" s="3"/>
      <c r="E19" s="3"/>
      <c r="F19" s="3"/>
      <c r="G19" s="3"/>
      <c r="H19" s="3"/>
      <c r="I19" s="3"/>
      <c r="J19" s="3"/>
      <c r="K19" s="3"/>
      <c r="L19" s="3"/>
      <c r="M19" s="3"/>
      <c r="N19" s="3"/>
      <c r="O19" s="3"/>
      <c r="P19" s="3"/>
      <c r="Q19" s="3"/>
      <c r="R19" s="3"/>
      <c r="S19" s="47"/>
      <c r="T19" s="3"/>
      <c r="U19" s="3"/>
      <c r="V19" s="3"/>
      <c r="W19" s="3"/>
      <c r="X19" s="3"/>
      <c r="Y19" s="3"/>
      <c r="Z19" s="3"/>
    </row>
    <row r="20" spans="1:26" ht="14.25" customHeight="1">
      <c r="A20" s="46"/>
      <c r="B20" s="3"/>
      <c r="C20" s="3"/>
      <c r="D20" s="3"/>
      <c r="E20" s="3"/>
      <c r="F20" s="3"/>
      <c r="G20" s="3"/>
      <c r="H20" s="3"/>
      <c r="I20" s="3"/>
      <c r="J20" s="3"/>
      <c r="K20" s="3"/>
      <c r="L20" s="3"/>
      <c r="M20" s="3"/>
      <c r="N20" s="3"/>
      <c r="O20" s="3"/>
      <c r="P20" s="3"/>
      <c r="Q20" s="3"/>
      <c r="R20" s="3"/>
      <c r="S20" s="47"/>
      <c r="T20" s="3"/>
      <c r="U20" s="3"/>
      <c r="V20" s="3"/>
      <c r="W20" s="3"/>
      <c r="X20" s="3"/>
      <c r="Y20" s="3"/>
      <c r="Z20" s="3"/>
    </row>
    <row r="21" spans="1:26" ht="14.25" customHeight="1">
      <c r="A21" s="46"/>
      <c r="B21" s="3"/>
      <c r="C21" s="3"/>
      <c r="D21" s="3"/>
      <c r="E21" s="3"/>
      <c r="F21" s="3"/>
      <c r="G21" s="3"/>
      <c r="H21" s="3"/>
      <c r="I21" s="3"/>
      <c r="J21" s="3"/>
      <c r="K21" s="3"/>
      <c r="L21" s="3"/>
      <c r="M21" s="3"/>
      <c r="N21" s="3"/>
      <c r="O21" s="3"/>
      <c r="P21" s="3"/>
      <c r="Q21" s="3"/>
      <c r="R21" s="3"/>
      <c r="S21" s="47"/>
      <c r="T21" s="3"/>
      <c r="U21" s="3"/>
      <c r="V21" s="3"/>
      <c r="W21" s="3"/>
      <c r="X21" s="3"/>
      <c r="Y21" s="3"/>
      <c r="Z21" s="3"/>
    </row>
    <row r="22" spans="1:26" ht="14.25" customHeight="1">
      <c r="A22" s="46"/>
      <c r="B22" s="3"/>
      <c r="C22" s="3"/>
      <c r="D22" s="3"/>
      <c r="E22" s="3"/>
      <c r="F22" s="3"/>
      <c r="G22" s="3"/>
      <c r="H22" s="3"/>
      <c r="I22" s="3"/>
      <c r="J22" s="3"/>
      <c r="K22" s="3"/>
      <c r="L22" s="3"/>
      <c r="M22" s="3"/>
      <c r="N22" s="3"/>
      <c r="O22" s="3"/>
      <c r="P22" s="3"/>
      <c r="Q22" s="3"/>
      <c r="R22" s="3"/>
      <c r="S22" s="47"/>
      <c r="T22" s="3"/>
      <c r="U22" s="3"/>
      <c r="V22" s="3"/>
      <c r="W22" s="3"/>
      <c r="X22" s="3"/>
      <c r="Y22" s="3"/>
      <c r="Z22" s="3"/>
    </row>
    <row r="23" spans="1:26" ht="14.25" customHeight="1">
      <c r="A23" s="46"/>
      <c r="B23" s="3"/>
      <c r="C23" s="3"/>
      <c r="D23" s="3"/>
      <c r="E23" s="3"/>
      <c r="F23" s="3"/>
      <c r="G23" s="3"/>
      <c r="H23" s="3"/>
      <c r="I23" s="3"/>
      <c r="J23" s="3"/>
      <c r="K23" s="3"/>
      <c r="L23" s="3"/>
      <c r="M23" s="3"/>
      <c r="N23" s="3"/>
      <c r="O23" s="3"/>
      <c r="P23" s="3"/>
      <c r="Q23" s="3"/>
      <c r="R23" s="3"/>
      <c r="S23" s="47"/>
      <c r="T23" s="3"/>
      <c r="U23" s="3"/>
      <c r="V23" s="3"/>
      <c r="W23" s="3"/>
      <c r="X23" s="3"/>
      <c r="Y23" s="3"/>
      <c r="Z23" s="3"/>
    </row>
    <row r="24" spans="1:26" ht="14.25" customHeight="1">
      <c r="A24" s="46"/>
      <c r="B24" s="3"/>
      <c r="C24" s="3"/>
      <c r="D24" s="3"/>
      <c r="E24" s="3"/>
      <c r="F24" s="3"/>
      <c r="G24" s="3"/>
      <c r="H24" s="3"/>
      <c r="I24" s="3"/>
      <c r="J24" s="3"/>
      <c r="K24" s="3"/>
      <c r="L24" s="3"/>
      <c r="M24" s="3"/>
      <c r="N24" s="3"/>
      <c r="O24" s="3"/>
      <c r="P24" s="3"/>
      <c r="Q24" s="3"/>
      <c r="R24" s="3"/>
      <c r="S24" s="47"/>
      <c r="T24" s="3"/>
      <c r="U24" s="3"/>
      <c r="V24" s="3"/>
      <c r="W24" s="3"/>
      <c r="X24" s="3"/>
      <c r="Y24" s="3"/>
      <c r="Z24" s="3"/>
    </row>
    <row r="25" spans="1:26" ht="14.25" customHeight="1">
      <c r="A25" s="46"/>
      <c r="B25" s="3"/>
      <c r="C25" s="3"/>
      <c r="D25" s="3"/>
      <c r="E25" s="3"/>
      <c r="F25" s="3"/>
      <c r="G25" s="3"/>
      <c r="H25" s="3"/>
      <c r="I25" s="3"/>
      <c r="J25" s="3"/>
      <c r="K25" s="3"/>
      <c r="L25" s="3"/>
      <c r="M25" s="3"/>
      <c r="N25" s="3"/>
      <c r="O25" s="3"/>
      <c r="P25" s="3"/>
      <c r="Q25" s="3"/>
      <c r="R25" s="3"/>
      <c r="S25" s="47"/>
      <c r="T25" s="3"/>
      <c r="U25" s="3"/>
      <c r="V25" s="3"/>
      <c r="W25" s="3"/>
      <c r="X25" s="3"/>
      <c r="Y25" s="3"/>
      <c r="Z25" s="3"/>
    </row>
    <row r="26" spans="1:26" ht="14.25" customHeight="1">
      <c r="A26" s="46"/>
      <c r="B26" s="3"/>
      <c r="C26" s="3"/>
      <c r="D26" s="3"/>
      <c r="E26" s="3"/>
      <c r="F26" s="3"/>
      <c r="G26" s="3"/>
      <c r="H26" s="3"/>
      <c r="I26" s="3"/>
      <c r="J26" s="3"/>
      <c r="K26" s="3"/>
      <c r="L26" s="3"/>
      <c r="M26" s="3"/>
      <c r="N26" s="3"/>
      <c r="O26" s="3"/>
      <c r="P26" s="3"/>
      <c r="Q26" s="3"/>
      <c r="R26" s="3"/>
      <c r="S26" s="47"/>
      <c r="T26" s="3"/>
      <c r="U26" s="3"/>
      <c r="V26" s="3"/>
      <c r="W26" s="3"/>
      <c r="X26" s="3"/>
      <c r="Y26" s="3"/>
      <c r="Z26" s="3"/>
    </row>
    <row r="27" spans="1:26" ht="14.25" customHeight="1">
      <c r="A27" s="46"/>
      <c r="B27" s="3"/>
      <c r="C27" s="3"/>
      <c r="D27" s="3"/>
      <c r="E27" s="3"/>
      <c r="F27" s="3"/>
      <c r="G27" s="3"/>
      <c r="H27" s="3"/>
      <c r="I27" s="3"/>
      <c r="J27" s="3"/>
      <c r="K27" s="3"/>
      <c r="L27" s="3"/>
      <c r="M27" s="3"/>
      <c r="N27" s="3"/>
      <c r="O27" s="3"/>
      <c r="P27" s="3"/>
      <c r="Q27" s="3"/>
      <c r="R27" s="3"/>
      <c r="S27" s="47"/>
      <c r="T27" s="3"/>
      <c r="U27" s="3"/>
      <c r="V27" s="3"/>
      <c r="W27" s="3"/>
      <c r="X27" s="3"/>
      <c r="Y27" s="3"/>
      <c r="Z27" s="3"/>
    </row>
    <row r="28" spans="1:26" ht="14.25" customHeight="1">
      <c r="A28" s="46"/>
      <c r="B28" s="3"/>
      <c r="C28" s="3"/>
      <c r="D28" s="3"/>
      <c r="E28" s="3"/>
      <c r="F28" s="3"/>
      <c r="G28" s="3"/>
      <c r="H28" s="3"/>
      <c r="I28" s="3"/>
      <c r="J28" s="3"/>
      <c r="K28" s="3"/>
      <c r="L28" s="3"/>
      <c r="M28" s="3"/>
      <c r="N28" s="3"/>
      <c r="O28" s="3"/>
      <c r="P28" s="3"/>
      <c r="Q28" s="3"/>
      <c r="R28" s="3"/>
      <c r="S28" s="47"/>
      <c r="T28" s="3"/>
      <c r="U28" s="3"/>
      <c r="V28" s="3"/>
      <c r="W28" s="3"/>
      <c r="X28" s="3"/>
      <c r="Y28" s="3"/>
      <c r="Z28" s="3"/>
    </row>
    <row r="29" spans="1:26" ht="14.25" customHeight="1">
      <c r="A29" s="46"/>
      <c r="B29" s="3"/>
      <c r="C29" s="3"/>
      <c r="D29" s="3"/>
      <c r="E29" s="3"/>
      <c r="F29" s="3"/>
      <c r="G29" s="3"/>
      <c r="H29" s="3"/>
      <c r="I29" s="3"/>
      <c r="J29" s="3"/>
      <c r="K29" s="3"/>
      <c r="L29" s="3"/>
      <c r="M29" s="3"/>
      <c r="N29" s="3"/>
      <c r="O29" s="3"/>
      <c r="P29" s="3"/>
      <c r="Q29" s="3"/>
      <c r="R29" s="3"/>
      <c r="S29" s="47"/>
      <c r="T29" s="3"/>
      <c r="U29" s="3"/>
      <c r="V29" s="3"/>
      <c r="W29" s="3"/>
      <c r="X29" s="3"/>
      <c r="Y29" s="3"/>
      <c r="Z29" s="3"/>
    </row>
    <row r="30" spans="1:26" ht="14.25" customHeight="1">
      <c r="A30" s="46"/>
      <c r="B30" s="3"/>
      <c r="C30" s="3"/>
      <c r="D30" s="3"/>
      <c r="E30" s="3"/>
      <c r="F30" s="3"/>
      <c r="G30" s="3"/>
      <c r="H30" s="3"/>
      <c r="I30" s="3"/>
      <c r="J30" s="3"/>
      <c r="K30" s="3"/>
      <c r="L30" s="3"/>
      <c r="M30" s="3"/>
      <c r="N30" s="3"/>
      <c r="O30" s="3"/>
      <c r="P30" s="3"/>
      <c r="Q30" s="3"/>
      <c r="R30" s="3"/>
      <c r="S30" s="47"/>
      <c r="T30" s="3"/>
      <c r="U30" s="3"/>
      <c r="V30" s="3"/>
      <c r="W30" s="3"/>
      <c r="X30" s="3"/>
      <c r="Y30" s="3"/>
      <c r="Z30" s="3"/>
    </row>
    <row r="31" spans="1:26" ht="14.25" customHeight="1">
      <c r="A31" s="46"/>
      <c r="B31" s="3"/>
      <c r="C31" s="3"/>
      <c r="D31" s="3"/>
      <c r="E31" s="3"/>
      <c r="F31" s="3"/>
      <c r="G31" s="3"/>
      <c r="H31" s="3"/>
      <c r="I31" s="3"/>
      <c r="J31" s="3"/>
      <c r="K31" s="3"/>
      <c r="L31" s="3"/>
      <c r="M31" s="3"/>
      <c r="N31" s="3"/>
      <c r="O31" s="3"/>
      <c r="P31" s="3"/>
      <c r="Q31" s="3"/>
      <c r="R31" s="3"/>
      <c r="S31" s="47"/>
      <c r="T31" s="3"/>
      <c r="U31" s="3"/>
      <c r="V31" s="3"/>
      <c r="W31" s="3"/>
      <c r="X31" s="3"/>
      <c r="Y31" s="3"/>
      <c r="Z31" s="3"/>
    </row>
    <row r="32" spans="1:26" ht="14.25" customHeight="1">
      <c r="A32" s="46"/>
      <c r="B32" s="3"/>
      <c r="C32" s="3"/>
      <c r="D32" s="3"/>
      <c r="E32" s="3"/>
      <c r="F32" s="3"/>
      <c r="G32" s="3"/>
      <c r="H32" s="3"/>
      <c r="I32" s="3"/>
      <c r="J32" s="3"/>
      <c r="K32" s="3"/>
      <c r="L32" s="3"/>
      <c r="M32" s="3"/>
      <c r="N32" s="3"/>
      <c r="O32" s="3"/>
      <c r="P32" s="3"/>
      <c r="Q32" s="3"/>
      <c r="R32" s="3"/>
      <c r="S32" s="47"/>
      <c r="T32" s="3"/>
      <c r="U32" s="3"/>
      <c r="V32" s="3"/>
      <c r="W32" s="3"/>
      <c r="X32" s="3"/>
      <c r="Y32" s="3"/>
      <c r="Z32" s="3"/>
    </row>
    <row r="33" spans="1:26" ht="14.25" customHeight="1">
      <c r="A33" s="46"/>
      <c r="B33" s="3"/>
      <c r="C33" s="3"/>
      <c r="D33" s="3"/>
      <c r="E33" s="3"/>
      <c r="F33" s="3"/>
      <c r="G33" s="3"/>
      <c r="H33" s="3"/>
      <c r="I33" s="3"/>
      <c r="J33" s="3"/>
      <c r="K33" s="3"/>
      <c r="L33" s="3"/>
      <c r="M33" s="3"/>
      <c r="N33" s="3"/>
      <c r="O33" s="3"/>
      <c r="P33" s="3"/>
      <c r="Q33" s="3"/>
      <c r="R33" s="3"/>
      <c r="S33" s="47"/>
      <c r="T33" s="3"/>
      <c r="U33" s="3"/>
      <c r="V33" s="3"/>
      <c r="W33" s="3"/>
      <c r="X33" s="3"/>
      <c r="Y33" s="3"/>
      <c r="Z33" s="3"/>
    </row>
    <row r="34" spans="1:26" ht="14.25" customHeight="1">
      <c r="A34" s="46"/>
      <c r="B34" s="3"/>
      <c r="C34" s="3"/>
      <c r="D34" s="3"/>
      <c r="E34" s="3"/>
      <c r="F34" s="3"/>
      <c r="G34" s="3"/>
      <c r="H34" s="3"/>
      <c r="I34" s="3"/>
      <c r="J34" s="3"/>
      <c r="K34" s="3"/>
      <c r="L34" s="3"/>
      <c r="M34" s="3"/>
      <c r="N34" s="3"/>
      <c r="O34" s="3"/>
      <c r="P34" s="3"/>
      <c r="Q34" s="3"/>
      <c r="R34" s="3"/>
      <c r="S34" s="47"/>
      <c r="T34" s="3"/>
      <c r="U34" s="3"/>
      <c r="V34" s="3"/>
      <c r="W34" s="3"/>
      <c r="X34" s="3"/>
      <c r="Y34" s="3"/>
      <c r="Z34" s="3"/>
    </row>
    <row r="35" spans="1:26" ht="14.25" customHeight="1">
      <c r="A35" s="46"/>
      <c r="B35" s="3"/>
      <c r="C35" s="3"/>
      <c r="D35" s="3"/>
      <c r="E35" s="3"/>
      <c r="F35" s="3"/>
      <c r="G35" s="3"/>
      <c r="H35" s="3"/>
      <c r="I35" s="3"/>
      <c r="J35" s="3"/>
      <c r="K35" s="3"/>
      <c r="L35" s="3"/>
      <c r="M35" s="3"/>
      <c r="N35" s="3"/>
      <c r="O35" s="3"/>
      <c r="P35" s="3"/>
      <c r="Q35" s="3"/>
      <c r="R35" s="3"/>
      <c r="S35" s="47"/>
      <c r="T35" s="3"/>
      <c r="U35" s="3"/>
      <c r="V35" s="3"/>
      <c r="W35" s="3"/>
      <c r="X35" s="3"/>
      <c r="Y35" s="3"/>
      <c r="Z35" s="3"/>
    </row>
    <row r="36" spans="1:26" ht="14.25" customHeight="1">
      <c r="A36" s="46"/>
      <c r="B36" s="3"/>
      <c r="C36" s="3"/>
      <c r="D36" s="3"/>
      <c r="E36" s="3"/>
      <c r="F36" s="3"/>
      <c r="G36" s="3"/>
      <c r="H36" s="3"/>
      <c r="I36" s="3"/>
      <c r="J36" s="3"/>
      <c r="K36" s="3"/>
      <c r="L36" s="3"/>
      <c r="M36" s="3"/>
      <c r="N36" s="3"/>
      <c r="O36" s="3"/>
      <c r="P36" s="3"/>
      <c r="Q36" s="3"/>
      <c r="R36" s="3"/>
      <c r="S36" s="47"/>
      <c r="T36" s="3"/>
      <c r="U36" s="3"/>
      <c r="V36" s="3"/>
      <c r="W36" s="3"/>
      <c r="X36" s="3"/>
      <c r="Y36" s="3"/>
      <c r="Z36" s="3"/>
    </row>
    <row r="37" spans="1:26" ht="14.25" customHeight="1">
      <c r="A37" s="46"/>
      <c r="B37" s="3"/>
      <c r="C37" s="3"/>
      <c r="D37" s="3"/>
      <c r="E37" s="3"/>
      <c r="F37" s="3"/>
      <c r="G37" s="3"/>
      <c r="H37" s="3"/>
      <c r="I37" s="3"/>
      <c r="J37" s="3"/>
      <c r="K37" s="3"/>
      <c r="L37" s="3"/>
      <c r="M37" s="3"/>
      <c r="N37" s="3"/>
      <c r="O37" s="3"/>
      <c r="P37" s="3"/>
      <c r="Q37" s="3"/>
      <c r="R37" s="3"/>
      <c r="S37" s="47"/>
      <c r="T37" s="3"/>
      <c r="U37" s="3"/>
      <c r="V37" s="3"/>
      <c r="W37" s="3"/>
      <c r="X37" s="3"/>
      <c r="Y37" s="3"/>
      <c r="Z37" s="3"/>
    </row>
    <row r="38" spans="1:26" ht="14.25" customHeight="1">
      <c r="A38" s="46"/>
      <c r="B38" s="3"/>
      <c r="C38" s="3"/>
      <c r="D38" s="3"/>
      <c r="E38" s="3"/>
      <c r="F38" s="3"/>
      <c r="G38" s="3"/>
      <c r="H38" s="3"/>
      <c r="I38" s="3"/>
      <c r="J38" s="3"/>
      <c r="K38" s="3"/>
      <c r="L38" s="3"/>
      <c r="M38" s="3"/>
      <c r="N38" s="3"/>
      <c r="O38" s="3"/>
      <c r="P38" s="3"/>
      <c r="Q38" s="3"/>
      <c r="R38" s="3"/>
      <c r="S38" s="47"/>
      <c r="T38" s="3"/>
      <c r="U38" s="3"/>
      <c r="V38" s="3"/>
      <c r="W38" s="3"/>
      <c r="X38" s="3"/>
      <c r="Y38" s="3"/>
      <c r="Z38" s="3"/>
    </row>
    <row r="39" spans="1:26" ht="14.25" customHeight="1">
      <c r="A39" s="46"/>
      <c r="B39" s="3"/>
      <c r="C39" s="3"/>
      <c r="D39" s="3"/>
      <c r="E39" s="3"/>
      <c r="F39" s="3"/>
      <c r="G39" s="3"/>
      <c r="H39" s="3"/>
      <c r="I39" s="3"/>
      <c r="J39" s="3"/>
      <c r="K39" s="3"/>
      <c r="L39" s="3"/>
      <c r="M39" s="3"/>
      <c r="N39" s="3"/>
      <c r="O39" s="3"/>
      <c r="P39" s="3"/>
      <c r="Q39" s="3"/>
      <c r="R39" s="3"/>
      <c r="S39" s="47"/>
      <c r="T39" s="3"/>
      <c r="U39" s="3"/>
      <c r="V39" s="3"/>
      <c r="W39" s="3"/>
      <c r="X39" s="3"/>
      <c r="Y39" s="3"/>
      <c r="Z39" s="3"/>
    </row>
    <row r="40" spans="1:26" ht="14.25" customHeight="1">
      <c r="A40" s="46"/>
      <c r="B40" s="3"/>
      <c r="C40" s="3"/>
      <c r="D40" s="3"/>
      <c r="E40" s="3"/>
      <c r="F40" s="3"/>
      <c r="G40" s="3"/>
      <c r="H40" s="3"/>
      <c r="I40" s="3"/>
      <c r="J40" s="3"/>
      <c r="K40" s="3"/>
      <c r="L40" s="3"/>
      <c r="M40" s="3"/>
      <c r="N40" s="3"/>
      <c r="O40" s="3"/>
      <c r="P40" s="3"/>
      <c r="Q40" s="3"/>
      <c r="R40" s="3"/>
      <c r="S40" s="47"/>
      <c r="T40" s="3"/>
      <c r="U40" s="3"/>
      <c r="V40" s="3"/>
      <c r="W40" s="3"/>
      <c r="X40" s="3"/>
      <c r="Y40" s="3"/>
      <c r="Z40" s="3"/>
    </row>
    <row r="41" spans="1:26" ht="14.25" customHeight="1">
      <c r="A41" s="46"/>
      <c r="B41" s="3"/>
      <c r="C41" s="3"/>
      <c r="D41" s="3"/>
      <c r="E41" s="3"/>
      <c r="F41" s="3"/>
      <c r="G41" s="3"/>
      <c r="H41" s="3"/>
      <c r="I41" s="3"/>
      <c r="J41" s="3"/>
      <c r="K41" s="3"/>
      <c r="L41" s="3"/>
      <c r="M41" s="3"/>
      <c r="N41" s="3"/>
      <c r="O41" s="3"/>
      <c r="P41" s="3"/>
      <c r="Q41" s="3"/>
      <c r="R41" s="3"/>
      <c r="S41" s="47"/>
      <c r="T41" s="3"/>
      <c r="U41" s="3"/>
      <c r="V41" s="3"/>
      <c r="W41" s="3"/>
      <c r="X41" s="3"/>
      <c r="Y41" s="3"/>
      <c r="Z41" s="3"/>
    </row>
    <row r="42" spans="1:26" ht="14.25" customHeight="1">
      <c r="A42" s="46"/>
      <c r="B42" s="3"/>
      <c r="C42" s="3"/>
      <c r="D42" s="3"/>
      <c r="E42" s="3"/>
      <c r="F42" s="3"/>
      <c r="G42" s="3"/>
      <c r="H42" s="3"/>
      <c r="I42" s="3"/>
      <c r="J42" s="3"/>
      <c r="K42" s="3"/>
      <c r="L42" s="3"/>
      <c r="M42" s="3"/>
      <c r="N42" s="3"/>
      <c r="O42" s="3"/>
      <c r="P42" s="3"/>
      <c r="Q42" s="3"/>
      <c r="R42" s="3"/>
      <c r="S42" s="47"/>
      <c r="T42" s="3"/>
      <c r="U42" s="3"/>
      <c r="V42" s="3"/>
      <c r="W42" s="3"/>
      <c r="X42" s="3"/>
      <c r="Y42" s="3"/>
      <c r="Z42" s="3"/>
    </row>
    <row r="43" spans="1:26" ht="14.25" customHeight="1">
      <c r="A43" s="46"/>
      <c r="B43" s="3"/>
      <c r="C43" s="3"/>
      <c r="D43" s="3"/>
      <c r="E43" s="3"/>
      <c r="F43" s="3"/>
      <c r="G43" s="3"/>
      <c r="H43" s="3"/>
      <c r="I43" s="3"/>
      <c r="J43" s="3"/>
      <c r="K43" s="3"/>
      <c r="L43" s="3"/>
      <c r="M43" s="3"/>
      <c r="N43" s="3"/>
      <c r="O43" s="3"/>
      <c r="P43" s="3"/>
      <c r="Q43" s="3"/>
      <c r="R43" s="3"/>
      <c r="S43" s="47"/>
      <c r="T43" s="3"/>
      <c r="U43" s="3"/>
      <c r="V43" s="3"/>
      <c r="W43" s="3"/>
      <c r="X43" s="3"/>
      <c r="Y43" s="3"/>
      <c r="Z43" s="3"/>
    </row>
    <row r="44" spans="1:26" ht="14.25" customHeight="1">
      <c r="A44" s="46"/>
      <c r="B44" s="3"/>
      <c r="C44" s="3"/>
      <c r="D44" s="3"/>
      <c r="E44" s="3"/>
      <c r="F44" s="3"/>
      <c r="G44" s="3"/>
      <c r="H44" s="3"/>
      <c r="I44" s="3"/>
      <c r="J44" s="3"/>
      <c r="K44" s="3"/>
      <c r="L44" s="3"/>
      <c r="M44" s="3"/>
      <c r="N44" s="3"/>
      <c r="O44" s="3"/>
      <c r="P44" s="3"/>
      <c r="Q44" s="3"/>
      <c r="R44" s="3"/>
      <c r="S44" s="47"/>
      <c r="T44" s="3"/>
      <c r="U44" s="3"/>
      <c r="V44" s="3"/>
      <c r="W44" s="3"/>
      <c r="X44" s="3"/>
      <c r="Y44" s="3"/>
      <c r="Z44" s="3"/>
    </row>
    <row r="45" spans="1:26" ht="14.25" customHeight="1">
      <c r="A45" s="46"/>
      <c r="B45" s="3"/>
      <c r="C45" s="3"/>
      <c r="D45" s="3"/>
      <c r="E45" s="3"/>
      <c r="F45" s="3"/>
      <c r="G45" s="3"/>
      <c r="H45" s="3"/>
      <c r="I45" s="3"/>
      <c r="J45" s="3"/>
      <c r="K45" s="3"/>
      <c r="L45" s="3"/>
      <c r="M45" s="3"/>
      <c r="N45" s="3"/>
      <c r="O45" s="3"/>
      <c r="P45" s="3"/>
      <c r="Q45" s="3"/>
      <c r="R45" s="3"/>
      <c r="S45" s="47"/>
      <c r="T45" s="3"/>
      <c r="U45" s="3"/>
      <c r="V45" s="3"/>
      <c r="W45" s="3"/>
      <c r="X45" s="3"/>
      <c r="Y45" s="3"/>
      <c r="Z45" s="3"/>
    </row>
    <row r="46" spans="1:26" ht="14.25" customHeight="1">
      <c r="A46" s="46"/>
      <c r="B46" s="3"/>
      <c r="C46" s="3"/>
      <c r="D46" s="3"/>
      <c r="E46" s="3"/>
      <c r="F46" s="3"/>
      <c r="G46" s="3"/>
      <c r="H46" s="3"/>
      <c r="I46" s="3"/>
      <c r="J46" s="3"/>
      <c r="K46" s="3"/>
      <c r="L46" s="3"/>
      <c r="M46" s="3"/>
      <c r="N46" s="3"/>
      <c r="O46" s="3"/>
      <c r="P46" s="3"/>
      <c r="Q46" s="3"/>
      <c r="R46" s="3"/>
      <c r="S46" s="47"/>
      <c r="T46" s="3"/>
      <c r="U46" s="3"/>
      <c r="V46" s="3"/>
      <c r="W46" s="3"/>
      <c r="X46" s="3"/>
      <c r="Y46" s="3"/>
      <c r="Z46" s="3"/>
    </row>
    <row r="47" spans="1:26" ht="14.25" customHeight="1">
      <c r="A47" s="46"/>
      <c r="B47" s="3"/>
      <c r="C47" s="3"/>
      <c r="D47" s="3"/>
      <c r="E47" s="3"/>
      <c r="F47" s="3"/>
      <c r="G47" s="3"/>
      <c r="H47" s="3"/>
      <c r="I47" s="3"/>
      <c r="J47" s="3"/>
      <c r="K47" s="3"/>
      <c r="L47" s="3"/>
      <c r="M47" s="3"/>
      <c r="N47" s="3"/>
      <c r="O47" s="3"/>
      <c r="P47" s="3"/>
      <c r="Q47" s="3"/>
      <c r="R47" s="3"/>
      <c r="S47" s="47"/>
      <c r="T47" s="3"/>
      <c r="U47" s="3"/>
      <c r="V47" s="3"/>
      <c r="W47" s="3"/>
      <c r="X47" s="3"/>
      <c r="Y47" s="3"/>
      <c r="Z47" s="3"/>
    </row>
    <row r="48" spans="1:26" ht="14.25" customHeight="1">
      <c r="A48" s="46"/>
      <c r="B48" s="3"/>
      <c r="C48" s="3"/>
      <c r="D48" s="3"/>
      <c r="E48" s="3"/>
      <c r="F48" s="3"/>
      <c r="G48" s="3"/>
      <c r="H48" s="3"/>
      <c r="I48" s="3"/>
      <c r="J48" s="3"/>
      <c r="K48" s="3"/>
      <c r="L48" s="3"/>
      <c r="M48" s="3"/>
      <c r="N48" s="3"/>
      <c r="O48" s="3"/>
      <c r="P48" s="3"/>
      <c r="Q48" s="3"/>
      <c r="R48" s="3"/>
      <c r="S48" s="47"/>
      <c r="T48" s="3"/>
      <c r="U48" s="3"/>
      <c r="V48" s="3"/>
      <c r="W48" s="3"/>
      <c r="X48" s="3"/>
      <c r="Y48" s="3"/>
      <c r="Z48" s="3"/>
    </row>
    <row r="49" spans="1:26" ht="14.25" customHeight="1">
      <c r="A49" s="46"/>
      <c r="B49" s="3"/>
      <c r="C49" s="3"/>
      <c r="D49" s="3"/>
      <c r="E49" s="3"/>
      <c r="F49" s="3"/>
      <c r="G49" s="3"/>
      <c r="H49" s="3"/>
      <c r="I49" s="3"/>
      <c r="J49" s="3"/>
      <c r="K49" s="3"/>
      <c r="L49" s="3"/>
      <c r="M49" s="3"/>
      <c r="N49" s="3"/>
      <c r="O49" s="3"/>
      <c r="P49" s="3"/>
      <c r="Q49" s="3"/>
      <c r="R49" s="3"/>
      <c r="S49" s="47"/>
      <c r="T49" s="3"/>
      <c r="U49" s="3"/>
      <c r="V49" s="3"/>
      <c r="W49" s="3"/>
      <c r="X49" s="3"/>
      <c r="Y49" s="3"/>
      <c r="Z49" s="3"/>
    </row>
    <row r="50" spans="1:26" ht="14.25" customHeight="1">
      <c r="A50" s="46"/>
      <c r="B50" s="3"/>
      <c r="C50" s="3"/>
      <c r="D50" s="3"/>
      <c r="E50" s="3"/>
      <c r="F50" s="3"/>
      <c r="G50" s="3"/>
      <c r="H50" s="3"/>
      <c r="I50" s="3"/>
      <c r="J50" s="3"/>
      <c r="K50" s="3"/>
      <c r="L50" s="3"/>
      <c r="M50" s="3"/>
      <c r="N50" s="3"/>
      <c r="O50" s="3"/>
      <c r="P50" s="3"/>
      <c r="Q50" s="3"/>
      <c r="R50" s="3"/>
      <c r="S50" s="47"/>
      <c r="T50" s="3"/>
      <c r="U50" s="3"/>
      <c r="V50" s="3"/>
      <c r="W50" s="3"/>
      <c r="X50" s="3"/>
      <c r="Y50" s="3"/>
      <c r="Z50" s="3"/>
    </row>
    <row r="51" spans="1:26" ht="14.25" customHeight="1">
      <c r="A51" s="46"/>
      <c r="B51" s="3"/>
      <c r="C51" s="3"/>
      <c r="D51" s="3"/>
      <c r="E51" s="3"/>
      <c r="F51" s="3"/>
      <c r="G51" s="3"/>
      <c r="H51" s="3"/>
      <c r="I51" s="3"/>
      <c r="J51" s="3"/>
      <c r="K51" s="3"/>
      <c r="L51" s="3"/>
      <c r="M51" s="3"/>
      <c r="N51" s="3"/>
      <c r="O51" s="3"/>
      <c r="P51" s="3"/>
      <c r="Q51" s="3"/>
      <c r="R51" s="3"/>
      <c r="S51" s="47"/>
      <c r="T51" s="3"/>
      <c r="U51" s="3"/>
      <c r="V51" s="3"/>
      <c r="W51" s="3"/>
      <c r="X51" s="3"/>
      <c r="Y51" s="3"/>
      <c r="Z51" s="3"/>
    </row>
    <row r="52" spans="1:26" ht="14.25" customHeight="1">
      <c r="A52" s="46"/>
      <c r="B52" s="3"/>
      <c r="C52" s="3"/>
      <c r="D52" s="3"/>
      <c r="E52" s="3"/>
      <c r="F52" s="3"/>
      <c r="G52" s="3"/>
      <c r="H52" s="3"/>
      <c r="I52" s="3"/>
      <c r="J52" s="3"/>
      <c r="K52" s="3"/>
      <c r="L52" s="3"/>
      <c r="M52" s="3"/>
      <c r="N52" s="3"/>
      <c r="O52" s="3"/>
      <c r="P52" s="3"/>
      <c r="Q52" s="3"/>
      <c r="R52" s="3"/>
      <c r="S52" s="47"/>
      <c r="T52" s="3"/>
      <c r="U52" s="3"/>
      <c r="V52" s="3"/>
      <c r="W52" s="3"/>
      <c r="X52" s="3"/>
      <c r="Y52" s="3"/>
      <c r="Z52" s="3"/>
    </row>
    <row r="53" spans="1:26" ht="14.25" customHeight="1">
      <c r="A53" s="46"/>
      <c r="B53" s="3"/>
      <c r="C53" s="3"/>
      <c r="D53" s="3"/>
      <c r="E53" s="3"/>
      <c r="F53" s="3"/>
      <c r="G53" s="3"/>
      <c r="H53" s="3"/>
      <c r="I53" s="3"/>
      <c r="J53" s="3"/>
      <c r="K53" s="3"/>
      <c r="L53" s="3"/>
      <c r="M53" s="3"/>
      <c r="N53" s="3"/>
      <c r="O53" s="3"/>
      <c r="P53" s="3"/>
      <c r="Q53" s="3"/>
      <c r="R53" s="3"/>
      <c r="S53" s="47"/>
      <c r="T53" s="3"/>
      <c r="U53" s="3"/>
      <c r="V53" s="3"/>
      <c r="W53" s="3"/>
      <c r="X53" s="3"/>
      <c r="Y53" s="3"/>
      <c r="Z53" s="3"/>
    </row>
    <row r="54" spans="1:26" ht="14.25" customHeight="1">
      <c r="A54" s="46"/>
      <c r="B54" s="3"/>
      <c r="C54" s="3"/>
      <c r="D54" s="3"/>
      <c r="E54" s="3"/>
      <c r="F54" s="3"/>
      <c r="G54" s="3"/>
      <c r="H54" s="3"/>
      <c r="I54" s="3"/>
      <c r="J54" s="3"/>
      <c r="K54" s="3"/>
      <c r="L54" s="3"/>
      <c r="M54" s="3"/>
      <c r="N54" s="3"/>
      <c r="O54" s="3"/>
      <c r="P54" s="3"/>
      <c r="Q54" s="3"/>
      <c r="R54" s="3"/>
      <c r="S54" s="47"/>
      <c r="T54" s="3"/>
      <c r="U54" s="3"/>
      <c r="V54" s="3"/>
      <c r="W54" s="3"/>
      <c r="X54" s="3"/>
      <c r="Y54" s="3"/>
      <c r="Z54" s="3"/>
    </row>
    <row r="55" spans="1:26" ht="14.25" customHeight="1">
      <c r="A55" s="46"/>
      <c r="B55" s="3"/>
      <c r="C55" s="3"/>
      <c r="D55" s="3"/>
      <c r="E55" s="3"/>
      <c r="F55" s="3"/>
      <c r="G55" s="3"/>
      <c r="H55" s="3"/>
      <c r="I55" s="3"/>
      <c r="J55" s="3"/>
      <c r="K55" s="3"/>
      <c r="L55" s="3"/>
      <c r="M55" s="3"/>
      <c r="N55" s="3"/>
      <c r="O55" s="3"/>
      <c r="P55" s="3"/>
      <c r="Q55" s="3"/>
      <c r="R55" s="3"/>
      <c r="S55" s="47"/>
      <c r="T55" s="3"/>
      <c r="U55" s="3"/>
      <c r="V55" s="3"/>
      <c r="W55" s="3"/>
      <c r="X55" s="3"/>
      <c r="Y55" s="3"/>
      <c r="Z55" s="3"/>
    </row>
    <row r="56" spans="1:26" ht="14.25" customHeight="1">
      <c r="A56" s="46"/>
      <c r="B56" s="3"/>
      <c r="C56" s="3"/>
      <c r="D56" s="3"/>
      <c r="E56" s="3"/>
      <c r="F56" s="3"/>
      <c r="G56" s="3"/>
      <c r="H56" s="3"/>
      <c r="I56" s="3"/>
      <c r="J56" s="3"/>
      <c r="K56" s="3"/>
      <c r="L56" s="3"/>
      <c r="M56" s="3"/>
      <c r="N56" s="3"/>
      <c r="O56" s="3"/>
      <c r="P56" s="3"/>
      <c r="Q56" s="3"/>
      <c r="R56" s="3"/>
      <c r="S56" s="47"/>
      <c r="T56" s="3"/>
      <c r="U56" s="3"/>
      <c r="V56" s="3"/>
      <c r="W56" s="3"/>
      <c r="X56" s="3"/>
      <c r="Y56" s="3"/>
      <c r="Z56" s="3"/>
    </row>
    <row r="57" spans="1:26" ht="14.25" customHeight="1">
      <c r="A57" s="46"/>
      <c r="B57" s="3"/>
      <c r="C57" s="3"/>
      <c r="D57" s="3"/>
      <c r="E57" s="3"/>
      <c r="F57" s="3"/>
      <c r="G57" s="3"/>
      <c r="H57" s="3"/>
      <c r="I57" s="3"/>
      <c r="J57" s="3"/>
      <c r="K57" s="3"/>
      <c r="L57" s="3"/>
      <c r="M57" s="3"/>
      <c r="N57" s="3"/>
      <c r="O57" s="3"/>
      <c r="P57" s="3"/>
      <c r="Q57" s="3"/>
      <c r="R57" s="3"/>
      <c r="S57" s="47"/>
      <c r="T57" s="3"/>
      <c r="U57" s="3"/>
      <c r="V57" s="3"/>
      <c r="W57" s="3"/>
      <c r="X57" s="3"/>
      <c r="Y57" s="3"/>
      <c r="Z57" s="3"/>
    </row>
    <row r="58" spans="1:26" ht="14.25" customHeight="1">
      <c r="A58" s="46"/>
      <c r="B58" s="3"/>
      <c r="C58" s="3"/>
      <c r="D58" s="3"/>
      <c r="E58" s="3"/>
      <c r="F58" s="3"/>
      <c r="G58" s="3"/>
      <c r="H58" s="3"/>
      <c r="I58" s="3"/>
      <c r="J58" s="3"/>
      <c r="K58" s="3"/>
      <c r="L58" s="3"/>
      <c r="M58" s="3"/>
      <c r="N58" s="3"/>
      <c r="O58" s="3"/>
      <c r="P58" s="3"/>
      <c r="Q58" s="3"/>
      <c r="R58" s="3"/>
      <c r="S58" s="47"/>
      <c r="T58" s="3"/>
      <c r="U58" s="3"/>
      <c r="V58" s="3"/>
      <c r="W58" s="3"/>
      <c r="X58" s="3"/>
      <c r="Y58" s="3"/>
      <c r="Z58" s="3"/>
    </row>
    <row r="59" spans="1:26" ht="14.25" customHeight="1">
      <c r="A59" s="46"/>
      <c r="B59" s="3"/>
      <c r="C59" s="3"/>
      <c r="D59" s="3"/>
      <c r="E59" s="3"/>
      <c r="F59" s="3"/>
      <c r="G59" s="3"/>
      <c r="H59" s="3"/>
      <c r="I59" s="3"/>
      <c r="J59" s="3"/>
      <c r="K59" s="3"/>
      <c r="L59" s="3"/>
      <c r="M59" s="3"/>
      <c r="N59" s="3"/>
      <c r="O59" s="3"/>
      <c r="P59" s="3"/>
      <c r="Q59" s="3"/>
      <c r="R59" s="3"/>
      <c r="S59" s="47"/>
      <c r="T59" s="3"/>
      <c r="U59" s="3"/>
      <c r="V59" s="3"/>
      <c r="W59" s="3"/>
      <c r="X59" s="3"/>
      <c r="Y59" s="3"/>
      <c r="Z59" s="3"/>
    </row>
    <row r="60" spans="1:26" ht="14.25" customHeight="1">
      <c r="A60" s="46"/>
      <c r="B60" s="3"/>
      <c r="C60" s="3"/>
      <c r="D60" s="3"/>
      <c r="E60" s="3"/>
      <c r="F60" s="3"/>
      <c r="G60" s="3"/>
      <c r="H60" s="3"/>
      <c r="I60" s="3"/>
      <c r="J60" s="3"/>
      <c r="K60" s="3"/>
      <c r="L60" s="3"/>
      <c r="M60" s="3"/>
      <c r="N60" s="3"/>
      <c r="O60" s="3"/>
      <c r="P60" s="3"/>
      <c r="Q60" s="3"/>
      <c r="R60" s="3"/>
      <c r="S60" s="47"/>
      <c r="T60" s="3"/>
      <c r="U60" s="3"/>
      <c r="V60" s="3"/>
      <c r="W60" s="3"/>
      <c r="X60" s="3"/>
      <c r="Y60" s="3"/>
      <c r="Z60" s="3"/>
    </row>
    <row r="61" spans="1:26" ht="14.25" customHeight="1">
      <c r="A61" s="46"/>
      <c r="B61" s="3"/>
      <c r="C61" s="3"/>
      <c r="D61" s="3"/>
      <c r="E61" s="3"/>
      <c r="F61" s="3"/>
      <c r="G61" s="3"/>
      <c r="H61" s="3"/>
      <c r="I61" s="3"/>
      <c r="J61" s="3"/>
      <c r="K61" s="3"/>
      <c r="L61" s="3"/>
      <c r="M61" s="3"/>
      <c r="N61" s="3"/>
      <c r="O61" s="3"/>
      <c r="P61" s="3"/>
      <c r="Q61" s="3"/>
      <c r="R61" s="3"/>
      <c r="S61" s="47"/>
      <c r="T61" s="3"/>
      <c r="U61" s="3"/>
      <c r="V61" s="3"/>
      <c r="W61" s="3"/>
      <c r="X61" s="3"/>
      <c r="Y61" s="3"/>
      <c r="Z61" s="3"/>
    </row>
    <row r="62" spans="1:26" ht="14.25" customHeight="1">
      <c r="A62" s="46"/>
      <c r="B62" s="3"/>
      <c r="C62" s="3"/>
      <c r="D62" s="3"/>
      <c r="E62" s="3"/>
      <c r="F62" s="3"/>
      <c r="G62" s="3"/>
      <c r="H62" s="3"/>
      <c r="I62" s="3"/>
      <c r="J62" s="3"/>
      <c r="K62" s="3"/>
      <c r="L62" s="3"/>
      <c r="M62" s="3"/>
      <c r="N62" s="3"/>
      <c r="O62" s="3"/>
      <c r="P62" s="3"/>
      <c r="Q62" s="3"/>
      <c r="R62" s="3"/>
      <c r="S62" s="47"/>
      <c r="T62" s="3"/>
      <c r="U62" s="3"/>
      <c r="V62" s="3"/>
      <c r="W62" s="3"/>
      <c r="X62" s="3"/>
      <c r="Y62" s="3"/>
      <c r="Z62" s="3"/>
    </row>
    <row r="63" spans="1:26" ht="14.25" customHeight="1">
      <c r="A63" s="46"/>
      <c r="B63" s="3"/>
      <c r="C63" s="3"/>
      <c r="D63" s="3"/>
      <c r="E63" s="3"/>
      <c r="F63" s="3"/>
      <c r="G63" s="3"/>
      <c r="H63" s="3"/>
      <c r="I63" s="3"/>
      <c r="J63" s="3"/>
      <c r="K63" s="3"/>
      <c r="L63" s="3"/>
      <c r="M63" s="3"/>
      <c r="N63" s="3"/>
      <c r="O63" s="3"/>
      <c r="P63" s="3"/>
      <c r="Q63" s="3"/>
      <c r="R63" s="3"/>
      <c r="S63" s="47"/>
      <c r="T63" s="3"/>
      <c r="U63" s="3"/>
      <c r="V63" s="3"/>
      <c r="W63" s="3"/>
      <c r="X63" s="3"/>
      <c r="Y63" s="3"/>
      <c r="Z63" s="3"/>
    </row>
    <row r="64" spans="1:26" ht="14.25" customHeight="1">
      <c r="A64" s="46"/>
      <c r="B64" s="3"/>
      <c r="C64" s="3"/>
      <c r="D64" s="3"/>
      <c r="E64" s="3"/>
      <c r="F64" s="3"/>
      <c r="G64" s="3"/>
      <c r="H64" s="3"/>
      <c r="I64" s="3"/>
      <c r="J64" s="3"/>
      <c r="K64" s="3"/>
      <c r="L64" s="3"/>
      <c r="M64" s="3"/>
      <c r="N64" s="3"/>
      <c r="O64" s="3"/>
      <c r="P64" s="3"/>
      <c r="Q64" s="3"/>
      <c r="R64" s="3"/>
      <c r="S64" s="47"/>
      <c r="T64" s="3"/>
      <c r="U64" s="3"/>
      <c r="V64" s="3"/>
      <c r="W64" s="3"/>
      <c r="X64" s="3"/>
      <c r="Y64" s="3"/>
      <c r="Z64" s="3"/>
    </row>
    <row r="65" spans="1:26" ht="14.25" customHeight="1">
      <c r="A65" s="46"/>
      <c r="B65" s="3"/>
      <c r="C65" s="3"/>
      <c r="D65" s="3"/>
      <c r="E65" s="3"/>
      <c r="F65" s="3"/>
      <c r="G65" s="3"/>
      <c r="H65" s="3"/>
      <c r="I65" s="3"/>
      <c r="J65" s="3"/>
      <c r="K65" s="3"/>
      <c r="L65" s="3"/>
      <c r="M65" s="3"/>
      <c r="N65" s="3"/>
      <c r="O65" s="3"/>
      <c r="P65" s="3"/>
      <c r="Q65" s="3"/>
      <c r="R65" s="3"/>
      <c r="S65" s="47"/>
      <c r="T65" s="3"/>
      <c r="U65" s="3"/>
      <c r="V65" s="3"/>
      <c r="W65" s="3"/>
      <c r="X65" s="3"/>
      <c r="Y65" s="3"/>
      <c r="Z65" s="3"/>
    </row>
    <row r="66" spans="1:26" ht="14.25" customHeight="1">
      <c r="A66" s="46"/>
      <c r="B66" s="3"/>
      <c r="C66" s="3"/>
      <c r="D66" s="3"/>
      <c r="E66" s="3"/>
      <c r="F66" s="3"/>
      <c r="G66" s="3"/>
      <c r="H66" s="3"/>
      <c r="I66" s="3"/>
      <c r="J66" s="3"/>
      <c r="K66" s="3"/>
      <c r="L66" s="3"/>
      <c r="M66" s="3"/>
      <c r="N66" s="3"/>
      <c r="O66" s="3"/>
      <c r="P66" s="3"/>
      <c r="Q66" s="3"/>
      <c r="R66" s="3"/>
      <c r="S66" s="47"/>
      <c r="T66" s="3"/>
      <c r="U66" s="3"/>
      <c r="V66" s="3"/>
      <c r="W66" s="3"/>
      <c r="X66" s="3"/>
      <c r="Y66" s="3"/>
      <c r="Z66" s="3"/>
    </row>
    <row r="67" spans="1:26" ht="14.25" customHeight="1">
      <c r="A67" s="46"/>
      <c r="B67" s="3"/>
      <c r="C67" s="3"/>
      <c r="D67" s="3"/>
      <c r="E67" s="3"/>
      <c r="F67" s="3"/>
      <c r="G67" s="3"/>
      <c r="H67" s="3"/>
      <c r="I67" s="3"/>
      <c r="J67" s="3"/>
      <c r="K67" s="3"/>
      <c r="L67" s="3"/>
      <c r="M67" s="3"/>
      <c r="N67" s="3"/>
      <c r="O67" s="3"/>
      <c r="P67" s="3"/>
      <c r="Q67" s="3"/>
      <c r="R67" s="3"/>
      <c r="S67" s="47"/>
      <c r="T67" s="3"/>
      <c r="U67" s="3"/>
      <c r="V67" s="3"/>
      <c r="W67" s="3"/>
      <c r="X67" s="3"/>
      <c r="Y67" s="3"/>
      <c r="Z67" s="3"/>
    </row>
    <row r="68" spans="1:26" ht="14.25" customHeight="1">
      <c r="A68" s="46"/>
      <c r="B68" s="3"/>
      <c r="C68" s="3"/>
      <c r="D68" s="3"/>
      <c r="E68" s="3"/>
      <c r="F68" s="3"/>
      <c r="G68" s="3"/>
      <c r="H68" s="3"/>
      <c r="I68" s="3"/>
      <c r="J68" s="3"/>
      <c r="K68" s="3"/>
      <c r="L68" s="3"/>
      <c r="M68" s="3"/>
      <c r="N68" s="3"/>
      <c r="O68" s="3"/>
      <c r="P68" s="3"/>
      <c r="Q68" s="3"/>
      <c r="R68" s="3"/>
      <c r="S68" s="47"/>
      <c r="T68" s="3"/>
      <c r="U68" s="3"/>
      <c r="V68" s="3"/>
      <c r="W68" s="3"/>
      <c r="X68" s="3"/>
      <c r="Y68" s="3"/>
      <c r="Z68" s="3"/>
    </row>
    <row r="69" spans="1:26" ht="14.25" customHeight="1">
      <c r="A69" s="46"/>
      <c r="B69" s="3"/>
      <c r="C69" s="3"/>
      <c r="D69" s="3"/>
      <c r="E69" s="3"/>
      <c r="F69" s="3"/>
      <c r="G69" s="3"/>
      <c r="H69" s="3"/>
      <c r="I69" s="3"/>
      <c r="J69" s="3"/>
      <c r="K69" s="3"/>
      <c r="L69" s="3"/>
      <c r="M69" s="3"/>
      <c r="N69" s="3"/>
      <c r="O69" s="3"/>
      <c r="P69" s="3"/>
      <c r="Q69" s="3"/>
      <c r="R69" s="3"/>
      <c r="S69" s="47"/>
      <c r="T69" s="3"/>
      <c r="U69" s="3"/>
      <c r="V69" s="3"/>
      <c r="W69" s="3"/>
      <c r="X69" s="3"/>
      <c r="Y69" s="3"/>
      <c r="Z69" s="3"/>
    </row>
    <row r="70" spans="1:26" ht="14.25" customHeight="1">
      <c r="A70" s="46"/>
      <c r="B70" s="3"/>
      <c r="C70" s="3"/>
      <c r="D70" s="3"/>
      <c r="E70" s="3"/>
      <c r="F70" s="3"/>
      <c r="G70" s="3"/>
      <c r="H70" s="3"/>
      <c r="I70" s="3"/>
      <c r="J70" s="3"/>
      <c r="K70" s="3"/>
      <c r="L70" s="3"/>
      <c r="M70" s="3"/>
      <c r="N70" s="3"/>
      <c r="O70" s="3"/>
      <c r="P70" s="3"/>
      <c r="Q70" s="3"/>
      <c r="R70" s="3"/>
      <c r="S70" s="47"/>
      <c r="T70" s="3"/>
      <c r="U70" s="3"/>
      <c r="V70" s="3"/>
      <c r="W70" s="3"/>
      <c r="X70" s="3"/>
      <c r="Y70" s="3"/>
      <c r="Z70" s="3"/>
    </row>
    <row r="71" spans="1:26" ht="14.25" customHeight="1">
      <c r="A71" s="46"/>
      <c r="B71" s="3"/>
      <c r="C71" s="3"/>
      <c r="D71" s="3"/>
      <c r="E71" s="3"/>
      <c r="F71" s="3"/>
      <c r="G71" s="3"/>
      <c r="H71" s="3"/>
      <c r="I71" s="3"/>
      <c r="J71" s="3"/>
      <c r="K71" s="3"/>
      <c r="L71" s="3"/>
      <c r="M71" s="3"/>
      <c r="N71" s="3"/>
      <c r="O71" s="3"/>
      <c r="P71" s="3"/>
      <c r="Q71" s="3"/>
      <c r="R71" s="3"/>
      <c r="S71" s="47"/>
      <c r="T71" s="3"/>
      <c r="U71" s="3"/>
      <c r="V71" s="3"/>
      <c r="W71" s="3"/>
      <c r="X71" s="3"/>
      <c r="Y71" s="3"/>
      <c r="Z71" s="3"/>
    </row>
    <row r="72" spans="1:26" ht="14.25" customHeight="1">
      <c r="A72" s="46"/>
      <c r="B72" s="3"/>
      <c r="C72" s="3"/>
      <c r="D72" s="3"/>
      <c r="E72" s="3"/>
      <c r="F72" s="3"/>
      <c r="G72" s="3"/>
      <c r="H72" s="3"/>
      <c r="I72" s="3"/>
      <c r="J72" s="3"/>
      <c r="K72" s="3"/>
      <c r="L72" s="3"/>
      <c r="M72" s="3"/>
      <c r="N72" s="3"/>
      <c r="O72" s="3"/>
      <c r="P72" s="3"/>
      <c r="Q72" s="3"/>
      <c r="R72" s="3"/>
      <c r="S72" s="47"/>
      <c r="T72" s="3"/>
      <c r="U72" s="3"/>
      <c r="V72" s="3"/>
      <c r="W72" s="3"/>
      <c r="X72" s="3"/>
      <c r="Y72" s="3"/>
      <c r="Z72" s="3"/>
    </row>
    <row r="73" spans="1:26" ht="14.25" customHeight="1">
      <c r="A73" s="46"/>
      <c r="B73" s="3"/>
      <c r="C73" s="3"/>
      <c r="D73" s="3"/>
      <c r="E73" s="3"/>
      <c r="F73" s="3"/>
      <c r="G73" s="3"/>
      <c r="H73" s="3"/>
      <c r="I73" s="3"/>
      <c r="J73" s="3"/>
      <c r="K73" s="3"/>
      <c r="L73" s="3"/>
      <c r="M73" s="3"/>
      <c r="N73" s="3"/>
      <c r="O73" s="3"/>
      <c r="P73" s="3"/>
      <c r="Q73" s="3"/>
      <c r="R73" s="3"/>
      <c r="S73" s="47"/>
      <c r="T73" s="3"/>
      <c r="U73" s="3"/>
      <c r="V73" s="3"/>
      <c r="W73" s="3"/>
      <c r="X73" s="3"/>
      <c r="Y73" s="3"/>
      <c r="Z73" s="3"/>
    </row>
    <row r="74" spans="1:26" ht="14.25" customHeight="1">
      <c r="A74" s="46"/>
      <c r="B74" s="3"/>
      <c r="C74" s="3"/>
      <c r="D74" s="3"/>
      <c r="E74" s="3"/>
      <c r="F74" s="3"/>
      <c r="G74" s="3"/>
      <c r="H74" s="3"/>
      <c r="I74" s="3"/>
      <c r="J74" s="3"/>
      <c r="K74" s="3"/>
      <c r="L74" s="3"/>
      <c r="M74" s="3"/>
      <c r="N74" s="3"/>
      <c r="O74" s="3"/>
      <c r="P74" s="3"/>
      <c r="Q74" s="3"/>
      <c r="R74" s="3"/>
      <c r="S74" s="47"/>
      <c r="T74" s="3"/>
      <c r="U74" s="3"/>
      <c r="V74" s="3"/>
      <c r="W74" s="3"/>
      <c r="X74" s="3"/>
      <c r="Y74" s="3"/>
      <c r="Z74" s="3"/>
    </row>
    <row r="75" spans="1:26" ht="14.25" customHeight="1">
      <c r="A75" s="46"/>
      <c r="B75" s="3"/>
      <c r="C75" s="3"/>
      <c r="D75" s="3"/>
      <c r="E75" s="3"/>
      <c r="F75" s="3"/>
      <c r="G75" s="3"/>
      <c r="H75" s="3"/>
      <c r="I75" s="3"/>
      <c r="J75" s="3"/>
      <c r="K75" s="3"/>
      <c r="L75" s="3"/>
      <c r="M75" s="3"/>
      <c r="N75" s="3"/>
      <c r="O75" s="3"/>
      <c r="P75" s="3"/>
      <c r="Q75" s="3"/>
      <c r="R75" s="3"/>
      <c r="S75" s="47"/>
      <c r="T75" s="3"/>
      <c r="U75" s="3"/>
      <c r="V75" s="3"/>
      <c r="W75" s="3"/>
      <c r="X75" s="3"/>
      <c r="Y75" s="3"/>
      <c r="Z75" s="3"/>
    </row>
    <row r="76" spans="1:26" ht="14.25" customHeight="1">
      <c r="A76" s="46"/>
      <c r="B76" s="3"/>
      <c r="C76" s="3"/>
      <c r="D76" s="3"/>
      <c r="E76" s="3"/>
      <c r="F76" s="3"/>
      <c r="G76" s="3"/>
      <c r="H76" s="3"/>
      <c r="I76" s="3"/>
      <c r="J76" s="3"/>
      <c r="K76" s="3"/>
      <c r="L76" s="3"/>
      <c r="M76" s="3"/>
      <c r="N76" s="3"/>
      <c r="O76" s="3"/>
      <c r="P76" s="3"/>
      <c r="Q76" s="3"/>
      <c r="R76" s="3"/>
      <c r="S76" s="47"/>
      <c r="T76" s="3"/>
      <c r="U76" s="3"/>
      <c r="V76" s="3"/>
      <c r="W76" s="3"/>
      <c r="X76" s="3"/>
      <c r="Y76" s="3"/>
      <c r="Z76" s="3"/>
    </row>
    <row r="77" spans="1:26" ht="14.25" customHeight="1">
      <c r="A77" s="46"/>
      <c r="B77" s="3"/>
      <c r="C77" s="3"/>
      <c r="D77" s="3"/>
      <c r="E77" s="3"/>
      <c r="F77" s="3"/>
      <c r="G77" s="3"/>
      <c r="H77" s="3"/>
      <c r="I77" s="3"/>
      <c r="J77" s="3"/>
      <c r="K77" s="3"/>
      <c r="L77" s="3"/>
      <c r="M77" s="3"/>
      <c r="N77" s="3"/>
      <c r="O77" s="3"/>
      <c r="P77" s="3"/>
      <c r="Q77" s="3"/>
      <c r="R77" s="3"/>
      <c r="S77" s="47"/>
      <c r="T77" s="3"/>
      <c r="U77" s="3"/>
      <c r="V77" s="3"/>
      <c r="W77" s="3"/>
      <c r="X77" s="3"/>
      <c r="Y77" s="3"/>
      <c r="Z77" s="3"/>
    </row>
    <row r="78" spans="1:26" ht="14.25" customHeight="1">
      <c r="A78" s="46"/>
      <c r="B78" s="3"/>
      <c r="C78" s="3"/>
      <c r="D78" s="3"/>
      <c r="E78" s="3"/>
      <c r="F78" s="3"/>
      <c r="G78" s="3"/>
      <c r="H78" s="3"/>
      <c r="I78" s="3"/>
      <c r="J78" s="3"/>
      <c r="K78" s="3"/>
      <c r="L78" s="3"/>
      <c r="M78" s="3"/>
      <c r="N78" s="3"/>
      <c r="O78" s="3"/>
      <c r="P78" s="3"/>
      <c r="Q78" s="3"/>
      <c r="R78" s="3"/>
      <c r="S78" s="47"/>
      <c r="T78" s="3"/>
      <c r="U78" s="3"/>
      <c r="V78" s="3"/>
      <c r="W78" s="3"/>
      <c r="X78" s="3"/>
      <c r="Y78" s="3"/>
      <c r="Z78" s="3"/>
    </row>
    <row r="79" spans="1:26" ht="14.25" customHeight="1">
      <c r="A79" s="46"/>
      <c r="B79" s="3"/>
      <c r="C79" s="3"/>
      <c r="D79" s="3"/>
      <c r="E79" s="3"/>
      <c r="F79" s="3"/>
      <c r="G79" s="3"/>
      <c r="H79" s="3"/>
      <c r="I79" s="3"/>
      <c r="J79" s="3"/>
      <c r="K79" s="3"/>
      <c r="L79" s="3"/>
      <c r="M79" s="3"/>
      <c r="N79" s="3"/>
      <c r="O79" s="3"/>
      <c r="P79" s="3"/>
      <c r="Q79" s="3"/>
      <c r="R79" s="3"/>
      <c r="S79" s="47"/>
      <c r="T79" s="3"/>
      <c r="U79" s="3"/>
      <c r="V79" s="3"/>
      <c r="W79" s="3"/>
      <c r="X79" s="3"/>
      <c r="Y79" s="3"/>
      <c r="Z79" s="3"/>
    </row>
    <row r="80" spans="1:26" ht="14.25" customHeight="1">
      <c r="A80" s="46"/>
      <c r="B80" s="3"/>
      <c r="C80" s="3"/>
      <c r="D80" s="3"/>
      <c r="E80" s="3"/>
      <c r="F80" s="3"/>
      <c r="G80" s="3"/>
      <c r="H80" s="3"/>
      <c r="I80" s="3"/>
      <c r="J80" s="3"/>
      <c r="K80" s="3"/>
      <c r="L80" s="3"/>
      <c r="M80" s="3"/>
      <c r="N80" s="3"/>
      <c r="O80" s="3"/>
      <c r="P80" s="3"/>
      <c r="Q80" s="3"/>
      <c r="R80" s="3"/>
      <c r="S80" s="47"/>
      <c r="T80" s="3"/>
      <c r="U80" s="3"/>
      <c r="V80" s="3"/>
      <c r="W80" s="3"/>
      <c r="X80" s="3"/>
      <c r="Y80" s="3"/>
      <c r="Z80" s="3"/>
    </row>
    <row r="81" spans="1:26" ht="14.25" customHeight="1">
      <c r="A81" s="46"/>
      <c r="B81" s="3"/>
      <c r="C81" s="3"/>
      <c r="D81" s="3"/>
      <c r="E81" s="3"/>
      <c r="F81" s="3"/>
      <c r="G81" s="3"/>
      <c r="H81" s="3"/>
      <c r="I81" s="3"/>
      <c r="J81" s="3"/>
      <c r="K81" s="3"/>
      <c r="L81" s="3"/>
      <c r="M81" s="3"/>
      <c r="N81" s="3"/>
      <c r="O81" s="3"/>
      <c r="P81" s="3"/>
      <c r="Q81" s="3"/>
      <c r="R81" s="3"/>
      <c r="S81" s="47"/>
      <c r="T81" s="3"/>
      <c r="U81" s="3"/>
      <c r="V81" s="3"/>
      <c r="W81" s="3"/>
      <c r="X81" s="3"/>
      <c r="Y81" s="3"/>
      <c r="Z81" s="3"/>
    </row>
    <row r="82" spans="1:26" ht="14.25" customHeight="1">
      <c r="A82" s="46"/>
      <c r="B82" s="3"/>
      <c r="C82" s="3"/>
      <c r="D82" s="3"/>
      <c r="E82" s="3"/>
      <c r="F82" s="3"/>
      <c r="G82" s="3"/>
      <c r="H82" s="3"/>
      <c r="I82" s="3"/>
      <c r="J82" s="3"/>
      <c r="K82" s="3"/>
      <c r="L82" s="3"/>
      <c r="M82" s="3"/>
      <c r="N82" s="3"/>
      <c r="O82" s="3"/>
      <c r="P82" s="3"/>
      <c r="Q82" s="3"/>
      <c r="R82" s="3"/>
      <c r="S82" s="47"/>
      <c r="T82" s="3"/>
      <c r="U82" s="3"/>
      <c r="V82" s="3"/>
      <c r="W82" s="3"/>
      <c r="X82" s="3"/>
      <c r="Y82" s="3"/>
      <c r="Z82" s="3"/>
    </row>
    <row r="83" spans="1:26" ht="14.25" customHeight="1">
      <c r="A83" s="46"/>
      <c r="B83" s="3"/>
      <c r="C83" s="3"/>
      <c r="D83" s="3"/>
      <c r="E83" s="3"/>
      <c r="F83" s="3"/>
      <c r="G83" s="3"/>
      <c r="H83" s="3"/>
      <c r="I83" s="3"/>
      <c r="J83" s="3"/>
      <c r="K83" s="3"/>
      <c r="L83" s="3"/>
      <c r="M83" s="3"/>
      <c r="N83" s="3"/>
      <c r="O83" s="3"/>
      <c r="P83" s="3"/>
      <c r="Q83" s="3"/>
      <c r="R83" s="3"/>
      <c r="S83" s="47"/>
      <c r="T83" s="3"/>
      <c r="U83" s="3"/>
      <c r="V83" s="3"/>
      <c r="W83" s="3"/>
      <c r="X83" s="3"/>
      <c r="Y83" s="3"/>
      <c r="Z83" s="3"/>
    </row>
    <row r="84" spans="1:26" ht="14.25" customHeight="1">
      <c r="A84" s="46"/>
      <c r="B84" s="3"/>
      <c r="C84" s="3"/>
      <c r="D84" s="3"/>
      <c r="E84" s="3"/>
      <c r="F84" s="3"/>
      <c r="G84" s="3"/>
      <c r="H84" s="3"/>
      <c r="I84" s="3"/>
      <c r="J84" s="3"/>
      <c r="K84" s="3"/>
      <c r="L84" s="3"/>
      <c r="M84" s="3"/>
      <c r="N84" s="3"/>
      <c r="O84" s="3"/>
      <c r="P84" s="3"/>
      <c r="Q84" s="3"/>
      <c r="R84" s="3"/>
      <c r="S84" s="47"/>
      <c r="T84" s="3"/>
      <c r="U84" s="3"/>
      <c r="V84" s="3"/>
      <c r="W84" s="3"/>
      <c r="X84" s="3"/>
      <c r="Y84" s="3"/>
      <c r="Z84" s="3"/>
    </row>
    <row r="85" spans="1:26" ht="14.25" customHeight="1">
      <c r="A85" s="46"/>
      <c r="B85" s="3"/>
      <c r="C85" s="3"/>
      <c r="D85" s="3"/>
      <c r="E85" s="3"/>
      <c r="F85" s="3"/>
      <c r="G85" s="3"/>
      <c r="H85" s="3"/>
      <c r="I85" s="3"/>
      <c r="J85" s="3"/>
      <c r="K85" s="3"/>
      <c r="L85" s="3"/>
      <c r="M85" s="3"/>
      <c r="N85" s="3"/>
      <c r="O85" s="3"/>
      <c r="P85" s="3"/>
      <c r="Q85" s="3"/>
      <c r="R85" s="3"/>
      <c r="S85" s="47"/>
      <c r="T85" s="3"/>
      <c r="U85" s="3"/>
      <c r="V85" s="3"/>
      <c r="W85" s="3"/>
      <c r="X85" s="3"/>
      <c r="Y85" s="3"/>
      <c r="Z85" s="3"/>
    </row>
    <row r="86" spans="1:26" ht="14.25" customHeight="1">
      <c r="A86" s="46"/>
      <c r="B86" s="3"/>
      <c r="C86" s="3"/>
      <c r="D86" s="3"/>
      <c r="E86" s="3"/>
      <c r="F86" s="3"/>
      <c r="G86" s="3"/>
      <c r="H86" s="3"/>
      <c r="I86" s="3"/>
      <c r="J86" s="3"/>
      <c r="K86" s="3"/>
      <c r="L86" s="3"/>
      <c r="M86" s="3"/>
      <c r="N86" s="3"/>
      <c r="O86" s="3"/>
      <c r="P86" s="3"/>
      <c r="Q86" s="3"/>
      <c r="R86" s="3"/>
      <c r="S86" s="47"/>
      <c r="T86" s="3"/>
      <c r="U86" s="3"/>
      <c r="V86" s="3"/>
      <c r="W86" s="3"/>
      <c r="X86" s="3"/>
      <c r="Y86" s="3"/>
      <c r="Z86" s="3"/>
    </row>
    <row r="87" spans="1:26" ht="14.25" customHeight="1">
      <c r="A87" s="46"/>
      <c r="B87" s="3"/>
      <c r="C87" s="3"/>
      <c r="D87" s="3"/>
      <c r="E87" s="3"/>
      <c r="F87" s="3"/>
      <c r="G87" s="3"/>
      <c r="H87" s="3"/>
      <c r="I87" s="3"/>
      <c r="J87" s="3"/>
      <c r="K87" s="3"/>
      <c r="L87" s="3"/>
      <c r="M87" s="3"/>
      <c r="N87" s="3"/>
      <c r="O87" s="3"/>
      <c r="P87" s="3"/>
      <c r="Q87" s="3"/>
      <c r="R87" s="3"/>
      <c r="S87" s="47"/>
      <c r="T87" s="3"/>
      <c r="U87" s="3"/>
      <c r="V87" s="3"/>
      <c r="W87" s="3"/>
      <c r="X87" s="3"/>
      <c r="Y87" s="3"/>
      <c r="Z87" s="3"/>
    </row>
    <row r="88" spans="1:26" ht="14.25" customHeight="1">
      <c r="A88" s="46"/>
      <c r="B88" s="3"/>
      <c r="C88" s="3"/>
      <c r="D88" s="3"/>
      <c r="E88" s="3"/>
      <c r="F88" s="3"/>
      <c r="G88" s="3"/>
      <c r="H88" s="3"/>
      <c r="I88" s="3"/>
      <c r="J88" s="3"/>
      <c r="K88" s="3"/>
      <c r="L88" s="3"/>
      <c r="M88" s="3"/>
      <c r="N88" s="3"/>
      <c r="O88" s="3"/>
      <c r="P88" s="3"/>
      <c r="Q88" s="3"/>
      <c r="R88" s="3"/>
      <c r="S88" s="47"/>
      <c r="T88" s="3"/>
      <c r="U88" s="3"/>
      <c r="V88" s="3"/>
      <c r="W88" s="3"/>
      <c r="X88" s="3"/>
      <c r="Y88" s="3"/>
      <c r="Z88" s="3"/>
    </row>
    <row r="89" spans="1:26" ht="14.25" customHeight="1">
      <c r="A89" s="46"/>
      <c r="B89" s="3"/>
      <c r="C89" s="3"/>
      <c r="D89" s="3"/>
      <c r="E89" s="3"/>
      <c r="F89" s="3"/>
      <c r="G89" s="3"/>
      <c r="H89" s="3"/>
      <c r="I89" s="3"/>
      <c r="J89" s="3"/>
      <c r="K89" s="3"/>
      <c r="L89" s="3"/>
      <c r="M89" s="3"/>
      <c r="N89" s="3"/>
      <c r="O89" s="3"/>
      <c r="P89" s="3"/>
      <c r="Q89" s="3"/>
      <c r="R89" s="3"/>
      <c r="S89" s="47"/>
      <c r="T89" s="3"/>
      <c r="U89" s="3"/>
      <c r="V89" s="3"/>
      <c r="W89" s="3"/>
      <c r="X89" s="3"/>
      <c r="Y89" s="3"/>
      <c r="Z89" s="3"/>
    </row>
    <row r="90" spans="1:26" ht="14.25" customHeight="1">
      <c r="A90" s="46"/>
      <c r="B90" s="3"/>
      <c r="C90" s="3"/>
      <c r="D90" s="3"/>
      <c r="E90" s="3"/>
      <c r="F90" s="3"/>
      <c r="G90" s="3"/>
      <c r="H90" s="3"/>
      <c r="I90" s="3"/>
      <c r="J90" s="3"/>
      <c r="K90" s="3"/>
      <c r="L90" s="3"/>
      <c r="M90" s="3"/>
      <c r="N90" s="3"/>
      <c r="O90" s="3"/>
      <c r="P90" s="3"/>
      <c r="Q90" s="3"/>
      <c r="R90" s="3"/>
      <c r="S90" s="47"/>
      <c r="T90" s="3"/>
      <c r="U90" s="3"/>
      <c r="V90" s="3"/>
      <c r="W90" s="3"/>
      <c r="X90" s="3"/>
      <c r="Y90" s="3"/>
      <c r="Z90" s="3"/>
    </row>
    <row r="91" spans="1:26" ht="14.25" customHeight="1">
      <c r="A91" s="46"/>
      <c r="B91" s="3"/>
      <c r="C91" s="3"/>
      <c r="D91" s="3"/>
      <c r="E91" s="3"/>
      <c r="F91" s="3"/>
      <c r="G91" s="3"/>
      <c r="H91" s="3"/>
      <c r="I91" s="3"/>
      <c r="J91" s="3"/>
      <c r="K91" s="3"/>
      <c r="L91" s="3"/>
      <c r="M91" s="3"/>
      <c r="N91" s="3"/>
      <c r="O91" s="3"/>
      <c r="P91" s="3"/>
      <c r="Q91" s="3"/>
      <c r="R91" s="3"/>
      <c r="S91" s="47"/>
      <c r="T91" s="3"/>
      <c r="U91" s="3"/>
      <c r="V91" s="3"/>
      <c r="W91" s="3"/>
      <c r="X91" s="3"/>
      <c r="Y91" s="3"/>
      <c r="Z91" s="3"/>
    </row>
    <row r="92" spans="1:26" ht="14.25" customHeight="1">
      <c r="A92" s="48"/>
      <c r="B92" s="49"/>
      <c r="C92" s="49"/>
      <c r="D92" s="49"/>
      <c r="E92" s="49"/>
      <c r="F92" s="49"/>
      <c r="G92" s="49"/>
      <c r="H92" s="49"/>
      <c r="I92" s="49"/>
      <c r="J92" s="49"/>
      <c r="K92" s="49"/>
      <c r="L92" s="49"/>
      <c r="M92" s="49"/>
      <c r="N92" s="49"/>
      <c r="O92" s="49"/>
      <c r="P92" s="49"/>
      <c r="Q92" s="49"/>
      <c r="R92" s="49"/>
      <c r="S92" s="50"/>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S1"/>
    <mergeCell ref="A2:S2"/>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F986"/>
  <sheetViews>
    <sheetView tabSelected="1" topLeftCell="D27" zoomScale="90" zoomScaleNormal="90" workbookViewId="0">
      <selection activeCell="I6" sqref="I6"/>
    </sheetView>
  </sheetViews>
  <sheetFormatPr defaultColWidth="14.42578125" defaultRowHeight="15" customHeight="1" outlineLevelRow="1"/>
  <cols>
    <col min="1" max="1" width="30.85546875" style="80" customWidth="1"/>
    <col min="2" max="2" width="22.85546875" style="80" customWidth="1"/>
    <col min="3" max="3" width="23.140625" style="80" customWidth="1"/>
    <col min="4" max="4" width="19.85546875" style="80" customWidth="1"/>
    <col min="5" max="5" width="21.5703125" style="80" customWidth="1"/>
    <col min="6" max="6" width="21.42578125" style="80" customWidth="1"/>
    <col min="7" max="7" width="33" style="80" customWidth="1"/>
    <col min="8" max="8" width="20.42578125" style="80" customWidth="1"/>
    <col min="9" max="9" width="21.42578125" style="80" customWidth="1"/>
    <col min="10" max="11" width="26" style="80" customWidth="1"/>
    <col min="12" max="12" width="19.85546875" style="80" customWidth="1"/>
    <col min="13" max="13" width="48.7109375" style="80" customWidth="1"/>
    <col min="14" max="57" width="9.140625" style="80" customWidth="1"/>
    <col min="58" max="58" width="14.42578125" style="80" customWidth="1"/>
    <col min="59" max="59" width="16.5703125" style="80" customWidth="1"/>
    <col min="60" max="60" width="12.28515625" style="80" customWidth="1"/>
    <col min="61" max="61" width="9.140625" style="80" customWidth="1"/>
    <col min="62" max="62" width="14.5703125" style="80" customWidth="1"/>
    <col min="63" max="63" width="25" style="80" customWidth="1"/>
    <col min="64" max="64" width="11" style="80" bestFit="1" customWidth="1"/>
    <col min="65" max="66" width="9.140625" style="80" customWidth="1"/>
    <col min="67" max="67" width="11.28515625" style="80" customWidth="1"/>
    <col min="68" max="68" width="10" style="80" customWidth="1"/>
    <col min="69" max="71" width="8.7109375" style="80" customWidth="1"/>
    <col min="72" max="72" width="4.85546875" style="80" customWidth="1"/>
    <col min="73" max="73" width="5.85546875" style="80" customWidth="1"/>
    <col min="74" max="74" width="4" style="80" customWidth="1"/>
    <col min="75" max="75" width="5.140625" style="80" customWidth="1"/>
    <col min="76" max="76" width="5.28515625" style="80" customWidth="1"/>
    <col min="77" max="77" width="5.5703125" style="80" customWidth="1"/>
    <col min="78" max="16384" width="14.42578125" style="80"/>
  </cols>
  <sheetData>
    <row r="1" spans="1:56" ht="50.25" customHeight="1" thickBot="1">
      <c r="A1" s="172" t="s">
        <v>91</v>
      </c>
      <c r="B1" s="173"/>
      <c r="C1" s="173"/>
      <c r="D1" s="173"/>
      <c r="E1" s="173"/>
      <c r="F1" s="173"/>
      <c r="G1" s="173"/>
      <c r="H1" s="173"/>
      <c r="I1" s="173"/>
      <c r="J1" s="173"/>
      <c r="K1" s="173"/>
      <c r="L1" s="174"/>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row>
    <row r="2" spans="1:56" ht="20.25" customHeight="1">
      <c r="A2" s="175" t="s">
        <v>92</v>
      </c>
      <c r="B2" s="176"/>
      <c r="C2" s="176"/>
      <c r="D2" s="176"/>
      <c r="E2" s="176"/>
      <c r="F2" s="176"/>
      <c r="G2" s="176"/>
      <c r="H2" s="176"/>
      <c r="I2" s="176"/>
      <c r="J2" s="176"/>
      <c r="K2" s="176"/>
      <c r="L2" s="177"/>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row>
    <row r="3" spans="1:56" ht="51.75" thickBot="1">
      <c r="A3" s="56" t="s">
        <v>93</v>
      </c>
      <c r="B3" s="57" t="s">
        <v>94</v>
      </c>
      <c r="C3" s="57" t="s">
        <v>95</v>
      </c>
      <c r="D3" s="57" t="s">
        <v>96</v>
      </c>
      <c r="E3" s="57" t="s">
        <v>97</v>
      </c>
      <c r="F3" s="57" t="s">
        <v>98</v>
      </c>
      <c r="G3" s="57" t="s">
        <v>99</v>
      </c>
      <c r="H3" s="57" t="s">
        <v>100</v>
      </c>
      <c r="I3" s="57" t="s">
        <v>101</v>
      </c>
      <c r="J3" s="57" t="s">
        <v>183</v>
      </c>
      <c r="K3" s="81" t="s">
        <v>102</v>
      </c>
      <c r="L3" s="58" t="s">
        <v>103</v>
      </c>
      <c r="M3" s="82" t="s">
        <v>104</v>
      </c>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row>
    <row r="4" spans="1:56" ht="14.25" customHeight="1">
      <c r="A4" s="83" t="s">
        <v>105</v>
      </c>
      <c r="B4" s="84" t="s">
        <v>106</v>
      </c>
      <c r="C4" s="85" t="s">
        <v>106</v>
      </c>
      <c r="D4" s="96">
        <v>1</v>
      </c>
      <c r="E4" s="86" t="s">
        <v>107</v>
      </c>
      <c r="F4" s="86"/>
      <c r="G4" s="95">
        <v>2</v>
      </c>
      <c r="H4" s="95">
        <v>8</v>
      </c>
      <c r="I4" s="95">
        <v>100</v>
      </c>
      <c r="J4" s="87" t="s">
        <v>108</v>
      </c>
      <c r="K4" s="87"/>
      <c r="L4" s="87" t="s">
        <v>109</v>
      </c>
      <c r="M4" s="88" t="s">
        <v>110</v>
      </c>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row>
    <row r="5" spans="1:56" ht="14.25" customHeight="1">
      <c r="A5" s="51"/>
      <c r="B5" s="52"/>
      <c r="C5" s="53"/>
      <c r="D5" s="53"/>
      <c r="E5" s="93"/>
      <c r="F5" s="53"/>
      <c r="G5" s="53"/>
      <c r="H5" s="53"/>
      <c r="I5" s="53"/>
      <c r="J5" s="53"/>
      <c r="K5" s="53"/>
      <c r="L5" s="53"/>
      <c r="M5" s="53"/>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row>
    <row r="6" spans="1:56" ht="14.25" customHeight="1">
      <c r="A6" s="51"/>
      <c r="B6" s="52"/>
      <c r="C6" s="53"/>
      <c r="D6" s="53"/>
      <c r="E6" s="93"/>
      <c r="F6" s="53"/>
      <c r="G6" s="53"/>
      <c r="H6" s="53"/>
      <c r="I6" s="53"/>
      <c r="J6" s="53"/>
      <c r="K6" s="53"/>
      <c r="L6" s="53"/>
      <c r="M6" s="53"/>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row>
    <row r="7" spans="1:56" ht="14.25" customHeight="1">
      <c r="A7" s="51"/>
      <c r="B7" s="52"/>
      <c r="C7" s="53"/>
      <c r="D7" s="53"/>
      <c r="E7" s="93"/>
      <c r="F7" s="53"/>
      <c r="G7" s="53"/>
      <c r="H7" s="53"/>
      <c r="I7" s="53"/>
      <c r="J7" s="53"/>
      <c r="K7" s="53"/>
      <c r="L7" s="53"/>
      <c r="M7" s="53"/>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row>
    <row r="8" spans="1:56" ht="14.25" customHeight="1">
      <c r="A8" s="51"/>
      <c r="B8" s="52"/>
      <c r="C8" s="53"/>
      <c r="D8" s="53"/>
      <c r="E8" s="93"/>
      <c r="F8" s="53"/>
      <c r="G8" s="53"/>
      <c r="H8" s="53"/>
      <c r="I8" s="53"/>
      <c r="J8" s="53"/>
      <c r="K8" s="53"/>
      <c r="L8" s="53"/>
      <c r="M8" s="53"/>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row>
    <row r="9" spans="1:56" ht="14.25" customHeight="1">
      <c r="A9" s="51"/>
      <c r="B9" s="52"/>
      <c r="C9" s="53"/>
      <c r="D9" s="53"/>
      <c r="E9" s="93"/>
      <c r="F9" s="53"/>
      <c r="G9" s="53"/>
      <c r="H9" s="53"/>
      <c r="I9" s="53"/>
      <c r="J9" s="53"/>
      <c r="K9" s="53"/>
      <c r="L9" s="53"/>
      <c r="M9" s="53"/>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row>
    <row r="10" spans="1:56" ht="14.25" customHeight="1">
      <c r="A10" s="51"/>
      <c r="B10" s="52"/>
      <c r="C10" s="53"/>
      <c r="D10" s="53"/>
      <c r="E10" s="93"/>
      <c r="F10" s="53"/>
      <c r="G10" s="53"/>
      <c r="H10" s="53"/>
      <c r="I10" s="53"/>
      <c r="J10" s="53"/>
      <c r="K10" s="53"/>
      <c r="L10" s="53"/>
      <c r="M10" s="53"/>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row>
    <row r="11" spans="1:56" ht="14.25" customHeight="1">
      <c r="A11" s="51"/>
      <c r="B11" s="52"/>
      <c r="C11" s="53"/>
      <c r="D11" s="53"/>
      <c r="E11" s="93"/>
      <c r="F11" s="53"/>
      <c r="G11" s="53"/>
      <c r="H11" s="53"/>
      <c r="I11" s="53"/>
      <c r="J11" s="53"/>
      <c r="K11" s="53"/>
      <c r="L11" s="53"/>
      <c r="M11" s="53"/>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row>
    <row r="12" spans="1:56" ht="14.25" customHeight="1">
      <c r="A12" s="51"/>
      <c r="B12" s="52"/>
      <c r="C12" s="53"/>
      <c r="D12" s="53"/>
      <c r="E12" s="93"/>
      <c r="F12" s="53"/>
      <c r="G12" s="53"/>
      <c r="H12" s="53"/>
      <c r="I12" s="53"/>
      <c r="J12" s="53"/>
      <c r="K12" s="53"/>
      <c r="L12" s="53"/>
      <c r="M12" s="53"/>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row>
    <row r="13" spans="1:56" ht="14.25" customHeight="1">
      <c r="A13" s="51"/>
      <c r="B13" s="52"/>
      <c r="C13" s="53"/>
      <c r="D13" s="53"/>
      <c r="E13" s="93"/>
      <c r="F13" s="53"/>
      <c r="G13" s="53"/>
      <c r="H13" s="53"/>
      <c r="I13" s="53"/>
      <c r="J13" s="53"/>
      <c r="K13" s="53"/>
      <c r="L13" s="53"/>
      <c r="M13" s="53"/>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row>
    <row r="14" spans="1:56" ht="14.25" customHeight="1">
      <c r="A14" s="51"/>
      <c r="B14" s="52"/>
      <c r="C14" s="53"/>
      <c r="D14" s="53"/>
      <c r="E14" s="93"/>
      <c r="F14" s="53"/>
      <c r="G14" s="53"/>
      <c r="H14" s="53"/>
      <c r="I14" s="53"/>
      <c r="J14" s="53"/>
      <c r="K14" s="53"/>
      <c r="L14" s="53"/>
      <c r="M14" s="53"/>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row>
    <row r="15" spans="1:56" ht="14.25" customHeight="1">
      <c r="A15" s="51"/>
      <c r="B15" s="52"/>
      <c r="C15" s="53"/>
      <c r="D15" s="53"/>
      <c r="E15" s="93"/>
      <c r="F15" s="53"/>
      <c r="G15" s="53"/>
      <c r="H15" s="53"/>
      <c r="I15" s="53"/>
      <c r="J15" s="53"/>
      <c r="K15" s="53"/>
      <c r="L15" s="53"/>
      <c r="M15" s="53"/>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row>
    <row r="16" spans="1:56" ht="14.25" customHeight="1">
      <c r="A16" s="51"/>
      <c r="B16" s="52"/>
      <c r="C16" s="53"/>
      <c r="D16" s="53"/>
      <c r="E16" s="93"/>
      <c r="F16" s="53"/>
      <c r="G16" s="53"/>
      <c r="H16" s="53"/>
      <c r="I16" s="53"/>
      <c r="J16" s="53"/>
      <c r="K16" s="53"/>
      <c r="L16" s="53"/>
      <c r="M16" s="53"/>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row>
    <row r="17" spans="1:74" ht="14.25" customHeight="1">
      <c r="A17" s="51"/>
      <c r="B17" s="52"/>
      <c r="C17" s="53"/>
      <c r="D17" s="53"/>
      <c r="E17" s="93"/>
      <c r="F17" s="53"/>
      <c r="G17" s="53"/>
      <c r="H17" s="53"/>
      <c r="I17" s="53"/>
      <c r="J17" s="53"/>
      <c r="K17" s="53"/>
      <c r="L17" s="53"/>
      <c r="M17" s="53"/>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row>
    <row r="18" spans="1:74" ht="14.25" customHeight="1">
      <c r="A18" s="51"/>
      <c r="B18" s="52"/>
      <c r="C18" s="53"/>
      <c r="D18" s="53"/>
      <c r="E18" s="93"/>
      <c r="F18" s="53"/>
      <c r="G18" s="53"/>
      <c r="H18" s="53"/>
      <c r="I18" s="53"/>
      <c r="J18" s="53"/>
      <c r="K18" s="53"/>
      <c r="L18" s="53"/>
      <c r="M18" s="53"/>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row>
    <row r="19" spans="1:74" ht="14.25" customHeight="1">
      <c r="A19" s="51"/>
      <c r="B19" s="52"/>
      <c r="C19" s="53"/>
      <c r="D19" s="53"/>
      <c r="E19" s="93"/>
      <c r="F19" s="53"/>
      <c r="G19" s="53"/>
      <c r="H19" s="53"/>
      <c r="I19" s="53"/>
      <c r="J19" s="53"/>
      <c r="K19" s="53"/>
      <c r="L19" s="53"/>
      <c r="M19" s="53"/>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row>
    <row r="20" spans="1:74" ht="14.25" customHeight="1">
      <c r="A20" s="51"/>
      <c r="B20" s="52"/>
      <c r="C20" s="53"/>
      <c r="D20" s="53"/>
      <c r="E20" s="93"/>
      <c r="F20" s="53"/>
      <c r="G20" s="53"/>
      <c r="H20" s="53"/>
      <c r="I20" s="53"/>
      <c r="J20" s="53"/>
      <c r="K20" s="53"/>
      <c r="L20" s="53"/>
      <c r="M20" s="53"/>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row>
    <row r="21" spans="1:74" ht="15.75" thickBot="1">
      <c r="A21" s="55"/>
      <c r="B21" s="55"/>
      <c r="C21" s="55"/>
      <c r="D21" s="55"/>
      <c r="E21" s="55"/>
      <c r="F21" s="55"/>
      <c r="G21" s="55"/>
      <c r="H21" s="55"/>
      <c r="I21" s="55"/>
      <c r="J21" s="53"/>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O21" s="90" t="s">
        <v>122</v>
      </c>
      <c r="BP21" s="91" t="s">
        <v>115</v>
      </c>
      <c r="BQ21" s="91" t="s">
        <v>115</v>
      </c>
      <c r="BR21" s="91" t="s">
        <v>115</v>
      </c>
      <c r="BS21" s="91" t="s">
        <v>123</v>
      </c>
      <c r="BT21" s="91" t="s">
        <v>115</v>
      </c>
      <c r="BU21" s="91" t="s">
        <v>115</v>
      </c>
      <c r="BV21" s="91" t="s">
        <v>115</v>
      </c>
    </row>
    <row r="22" spans="1:74" ht="14.25" customHeight="1" outlineLevel="1">
      <c r="A22" s="178" t="s">
        <v>112</v>
      </c>
      <c r="B22" s="176"/>
      <c r="C22" s="176"/>
      <c r="D22" s="176"/>
      <c r="E22" s="176"/>
      <c r="F22" s="176"/>
      <c r="G22" s="176"/>
      <c r="H22" s="176"/>
      <c r="I22" s="176"/>
      <c r="J22" s="176"/>
      <c r="K22" s="176"/>
      <c r="L22" s="177"/>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row>
    <row r="23" spans="1:74" ht="39" outlineLevel="1" thickBot="1">
      <c r="A23" s="56" t="s">
        <v>113</v>
      </c>
      <c r="B23" s="57" t="s">
        <v>114</v>
      </c>
      <c r="C23" s="57" t="s">
        <v>115</v>
      </c>
      <c r="D23" s="57" t="s">
        <v>95</v>
      </c>
      <c r="E23" s="57" t="s">
        <v>116</v>
      </c>
      <c r="F23" s="57" t="s">
        <v>117</v>
      </c>
      <c r="G23" s="57" t="s">
        <v>118</v>
      </c>
      <c r="H23" s="57" t="s">
        <v>119</v>
      </c>
      <c r="I23" s="101" t="s">
        <v>120</v>
      </c>
      <c r="J23" s="102" t="s">
        <v>121</v>
      </c>
      <c r="K23" s="103" t="s">
        <v>186</v>
      </c>
      <c r="L23" s="128" t="s">
        <v>104</v>
      </c>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row>
    <row r="24" spans="1:74" ht="14.25" customHeight="1" outlineLevel="1">
      <c r="A24" s="54"/>
      <c r="B24" s="93"/>
      <c r="C24" s="53"/>
      <c r="D24" s="53"/>
      <c r="E24" s="53"/>
      <c r="F24" s="53"/>
      <c r="G24" s="113"/>
      <c r="H24" s="114" t="str">
        <f>RAM_Lookup</f>
        <v/>
      </c>
      <c r="J24" s="53">
        <v>1000</v>
      </c>
      <c r="K24" s="127"/>
      <c r="L24" s="129"/>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row>
    <row r="25" spans="1:74" ht="14.25" customHeight="1" outlineLevel="1">
      <c r="A25" s="54"/>
      <c r="B25" s="53"/>
      <c r="C25" s="53"/>
      <c r="D25" s="53"/>
      <c r="E25" s="53"/>
      <c r="F25" s="53"/>
      <c r="G25" s="113"/>
      <c r="H25" s="114" t="str">
        <f>RAM_Lookup</f>
        <v/>
      </c>
      <c r="I25" s="53"/>
      <c r="J25" s="53"/>
      <c r="K25" s="127"/>
      <c r="L25" s="124"/>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row>
    <row r="26" spans="1:74" ht="14.25" customHeight="1" outlineLevel="1">
      <c r="A26" s="54"/>
      <c r="B26" s="53"/>
      <c r="C26" s="53"/>
      <c r="D26" s="93"/>
      <c r="E26" s="53"/>
      <c r="F26" s="53"/>
      <c r="G26" s="113"/>
      <c r="H26" s="114" t="str">
        <f>RAM_Lookup</f>
        <v/>
      </c>
      <c r="I26" s="53"/>
      <c r="J26" s="53"/>
      <c r="K26" s="127"/>
      <c r="L26" s="124"/>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row>
    <row r="27" spans="1:74" ht="14.25" customHeight="1" outlineLevel="1">
      <c r="A27" s="54"/>
      <c r="B27" s="53"/>
      <c r="C27" s="53"/>
      <c r="D27" s="93"/>
      <c r="E27" s="53"/>
      <c r="F27" s="53"/>
      <c r="G27" s="113"/>
      <c r="H27" s="114" t="str">
        <f>RAM_Lookup</f>
        <v/>
      </c>
      <c r="I27" s="53"/>
      <c r="J27" s="53"/>
      <c r="K27" s="127"/>
      <c r="L27" s="124"/>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row>
    <row r="28" spans="1:74" outlineLevel="1">
      <c r="A28" s="54"/>
      <c r="B28" s="53"/>
      <c r="C28" s="53"/>
      <c r="D28" s="53"/>
      <c r="E28" s="53"/>
      <c r="F28" s="53"/>
      <c r="G28" s="113"/>
      <c r="H28" s="114" t="str">
        <f>RAM_Lookup</f>
        <v/>
      </c>
      <c r="I28" s="53"/>
      <c r="J28" s="53"/>
      <c r="K28" s="127"/>
      <c r="L28" s="124"/>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row>
    <row r="29" spans="1:74" ht="14.25" customHeight="1" outlineLevel="1">
      <c r="A29" s="54"/>
      <c r="B29" s="93"/>
      <c r="C29" s="53"/>
      <c r="D29" s="53"/>
      <c r="E29" s="53"/>
      <c r="F29" s="53"/>
      <c r="G29" s="113"/>
      <c r="H29" s="114" t="str">
        <f>RAM_Lookup</f>
        <v/>
      </c>
      <c r="J29" s="53"/>
      <c r="K29" s="127"/>
      <c r="L29" s="129"/>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row>
    <row r="30" spans="1:74" ht="14.25" customHeight="1" outlineLevel="1">
      <c r="A30" s="54"/>
      <c r="B30" s="53"/>
      <c r="C30" s="53"/>
      <c r="D30" s="53"/>
      <c r="E30" s="53"/>
      <c r="F30" s="53"/>
      <c r="G30" s="113"/>
      <c r="H30" s="114" t="str">
        <f>RAM_Lookup</f>
        <v/>
      </c>
      <c r="I30" s="53"/>
      <c r="J30" s="53"/>
      <c r="K30" s="127"/>
      <c r="L30" s="124"/>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row>
    <row r="31" spans="1:74" ht="14.25" customHeight="1" outlineLevel="1">
      <c r="A31" s="54"/>
      <c r="B31" s="53"/>
      <c r="C31" s="53"/>
      <c r="D31" s="93"/>
      <c r="E31" s="53"/>
      <c r="F31" s="53"/>
      <c r="G31" s="113"/>
      <c r="H31" s="114" t="str">
        <f>RAM_Lookup</f>
        <v/>
      </c>
      <c r="I31" s="53"/>
      <c r="J31" s="53"/>
      <c r="K31" s="127"/>
      <c r="L31" s="124"/>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row>
    <row r="32" spans="1:74" ht="14.25" customHeight="1" outlineLevel="1">
      <c r="A32" s="54"/>
      <c r="B32" s="53"/>
      <c r="C32" s="53"/>
      <c r="D32" s="93"/>
      <c r="E32" s="53"/>
      <c r="F32" s="53"/>
      <c r="G32" s="113"/>
      <c r="H32" s="114" t="str">
        <f>RAM_Lookup</f>
        <v/>
      </c>
      <c r="I32" s="53"/>
      <c r="J32" s="53"/>
      <c r="K32" s="127"/>
      <c r="L32" s="124"/>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row>
    <row r="33" spans="1:67" outlineLevel="1">
      <c r="A33" s="54"/>
      <c r="B33" s="53"/>
      <c r="C33" s="53"/>
      <c r="D33" s="53"/>
      <c r="E33" s="53"/>
      <c r="F33" s="53"/>
      <c r="G33" s="113"/>
      <c r="H33" s="114" t="str">
        <f>RAM_Lookup</f>
        <v/>
      </c>
      <c r="I33" s="53"/>
      <c r="J33" s="53"/>
      <c r="K33" s="127"/>
      <c r="L33" s="124"/>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row>
    <row r="34" spans="1:67" ht="15.75" thickBo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row>
    <row r="35" spans="1:67" ht="21.75" customHeight="1" outlineLevel="1">
      <c r="A35" s="182" t="s">
        <v>124</v>
      </c>
      <c r="B35" s="176"/>
      <c r="C35" s="176"/>
      <c r="D35" s="176"/>
      <c r="E35" s="176"/>
      <c r="F35" s="176"/>
      <c r="G35" s="176"/>
      <c r="H35" s="176"/>
      <c r="I35" s="176"/>
      <c r="J35" s="176"/>
      <c r="K35" s="176"/>
      <c r="L35" s="177"/>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O35" s="92" t="s">
        <v>111</v>
      </c>
    </row>
    <row r="36" spans="1:67" ht="78.75" customHeight="1" outlineLevel="1" thickBot="1">
      <c r="A36" s="56" t="s">
        <v>125</v>
      </c>
      <c r="B36" s="57" t="s">
        <v>93</v>
      </c>
      <c r="C36" s="57" t="s">
        <v>126</v>
      </c>
      <c r="D36" s="57" t="s">
        <v>127</v>
      </c>
      <c r="E36" s="57" t="s">
        <v>128</v>
      </c>
      <c r="F36" s="57" t="s">
        <v>129</v>
      </c>
      <c r="G36" s="57" t="s">
        <v>130</v>
      </c>
      <c r="H36" s="57" t="s">
        <v>131</v>
      </c>
      <c r="I36" s="59" t="s">
        <v>132</v>
      </c>
      <c r="J36" s="59"/>
      <c r="K36" s="60"/>
      <c r="L36" s="130" t="s">
        <v>104</v>
      </c>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O36" s="92" t="s">
        <v>133</v>
      </c>
    </row>
    <row r="37" spans="1:67" ht="14.25" customHeight="1" outlineLevel="1">
      <c r="A37" s="54"/>
      <c r="B37" s="61"/>
      <c r="C37" s="62"/>
      <c r="D37" s="53"/>
      <c r="E37" s="53"/>
      <c r="F37" s="53"/>
      <c r="G37" s="53"/>
      <c r="H37" s="53"/>
      <c r="I37" s="53"/>
      <c r="J37" s="53"/>
      <c r="K37" s="127"/>
      <c r="L37" s="124"/>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row>
    <row r="38" spans="1:67" ht="14.25" customHeight="1" outlineLevel="1">
      <c r="A38" s="54"/>
      <c r="B38" s="61"/>
      <c r="C38" s="62"/>
      <c r="D38" s="53"/>
      <c r="E38" s="53"/>
      <c r="F38" s="53"/>
      <c r="G38" s="53"/>
      <c r="H38" s="53"/>
      <c r="I38" s="53"/>
      <c r="J38" s="53"/>
      <c r="K38" s="127"/>
      <c r="L38" s="124"/>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row>
    <row r="39" spans="1:67" ht="14.25" customHeight="1" outlineLevel="1">
      <c r="A39" s="54"/>
      <c r="B39" s="61"/>
      <c r="C39" s="62"/>
      <c r="D39" s="53"/>
      <c r="E39" s="53"/>
      <c r="F39" s="53"/>
      <c r="G39" s="53"/>
      <c r="H39" s="53"/>
      <c r="I39" s="53"/>
      <c r="J39" s="53"/>
      <c r="K39" s="127"/>
      <c r="L39" s="124"/>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row>
    <row r="40" spans="1:67" ht="14.25" customHeight="1" outlineLevel="1">
      <c r="A40" s="54"/>
      <c r="B40" s="61"/>
      <c r="C40" s="62"/>
      <c r="D40" s="53"/>
      <c r="E40" s="53"/>
      <c r="F40" s="53"/>
      <c r="G40" s="53"/>
      <c r="H40" s="53"/>
      <c r="I40" s="53"/>
      <c r="J40" s="53"/>
      <c r="K40" s="127"/>
      <c r="L40" s="124"/>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row>
    <row r="41" spans="1:67" outlineLevel="1">
      <c r="A41" s="54"/>
      <c r="B41" s="61"/>
      <c r="C41" s="62"/>
      <c r="D41" s="53"/>
      <c r="E41" s="53"/>
      <c r="F41" s="53"/>
      <c r="G41" s="53"/>
      <c r="H41" s="53"/>
      <c r="I41" s="53"/>
      <c r="J41" s="53"/>
      <c r="K41" s="127"/>
      <c r="L41" s="124"/>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row>
    <row r="42" spans="1:67" ht="15.75" thickBo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row>
    <row r="43" spans="1:67" ht="18.75">
      <c r="A43" s="182" t="s">
        <v>134</v>
      </c>
      <c r="B43" s="176"/>
      <c r="C43" s="177"/>
      <c r="D43" s="55"/>
      <c r="E43" s="189" t="s">
        <v>135</v>
      </c>
      <c r="F43" s="189"/>
      <c r="G43" s="189"/>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row>
    <row r="44" spans="1:67" ht="15.75" thickBot="1">
      <c r="A44" s="56" t="s">
        <v>113</v>
      </c>
      <c r="B44" s="57" t="s">
        <v>136</v>
      </c>
      <c r="C44" s="58" t="s">
        <v>137</v>
      </c>
      <c r="D44" s="55"/>
      <c r="E44" s="97" t="s">
        <v>113</v>
      </c>
      <c r="F44" s="97" t="s">
        <v>138</v>
      </c>
      <c r="G44" s="97" t="s">
        <v>104</v>
      </c>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row>
    <row r="45" spans="1:67" ht="14.25" customHeight="1">
      <c r="A45" s="63"/>
      <c r="B45" s="64"/>
      <c r="C45" s="64"/>
      <c r="D45" s="55"/>
      <c r="E45" s="98"/>
      <c r="F45" s="99"/>
      <c r="G45" s="190" t="s">
        <v>217</v>
      </c>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row>
    <row r="46" spans="1:67" ht="14.25" customHeight="1">
      <c r="A46" s="54"/>
      <c r="B46" s="65"/>
      <c r="C46" s="64"/>
      <c r="D46" s="55"/>
      <c r="E46" s="98"/>
      <c r="F46" s="99"/>
      <c r="G46" s="190"/>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row>
    <row r="47" spans="1:67" ht="14.25" customHeight="1">
      <c r="A47" s="54"/>
      <c r="B47" s="65"/>
      <c r="C47" s="64"/>
      <c r="D47" s="55"/>
      <c r="E47" s="98"/>
      <c r="F47" s="99"/>
      <c r="G47" s="190"/>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row>
    <row r="48" spans="1:67" ht="14.25" customHeight="1">
      <c r="A48" s="54"/>
      <c r="B48" s="65"/>
      <c r="C48" s="65"/>
      <c r="D48" s="55"/>
      <c r="E48" s="98"/>
      <c r="F48" s="99"/>
      <c r="G48" s="190"/>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row>
    <row r="49" spans="1:57" ht="14.25" customHeight="1">
      <c r="A49" s="54"/>
      <c r="B49" s="65"/>
      <c r="C49" s="65"/>
      <c r="D49" s="55"/>
      <c r="E49" s="98"/>
      <c r="F49" s="99"/>
      <c r="G49" s="190"/>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row>
    <row r="50" spans="1:57" ht="14.25" customHeight="1">
      <c r="A50" s="54"/>
      <c r="B50" s="65"/>
      <c r="C50" s="65"/>
      <c r="D50" s="55"/>
      <c r="E50" s="98"/>
      <c r="F50" s="99"/>
      <c r="G50" s="190"/>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row>
    <row r="51" spans="1:57" ht="22.5" customHeight="1">
      <c r="A51" s="54"/>
      <c r="B51" s="65"/>
      <c r="C51" s="66"/>
      <c r="D51" s="55"/>
      <c r="E51" s="98"/>
      <c r="F51" s="99"/>
      <c r="G51" s="190"/>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row>
    <row r="52" spans="1:57">
      <c r="A52" s="55"/>
      <c r="B52" s="55"/>
      <c r="C52" s="55"/>
      <c r="D52" s="67"/>
      <c r="E52" s="67"/>
      <c r="F52" s="67"/>
      <c r="G52" s="67"/>
      <c r="H52" s="67"/>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row>
    <row r="53" spans="1:57" ht="19.5" customHeight="1">
      <c r="A53" s="183" t="s">
        <v>139</v>
      </c>
      <c r="B53" s="184"/>
      <c r="C53" s="184"/>
      <c r="D53" s="184"/>
      <c r="E53" s="184"/>
      <c r="F53" s="184"/>
      <c r="G53" s="185"/>
      <c r="H53" s="68"/>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row>
    <row r="54" spans="1:57" ht="25.5">
      <c r="A54" s="69" t="s">
        <v>140</v>
      </c>
      <c r="B54" s="69" t="s">
        <v>141</v>
      </c>
      <c r="C54" s="69" t="s">
        <v>142</v>
      </c>
      <c r="D54" s="69" t="s">
        <v>143</v>
      </c>
      <c r="E54" s="69" t="s">
        <v>144</v>
      </c>
      <c r="F54" s="69" t="s">
        <v>145</v>
      </c>
      <c r="G54" s="69" t="s">
        <v>104</v>
      </c>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row>
    <row r="55" spans="1:57" ht="19.5" customHeight="1">
      <c r="A55" s="70" t="s">
        <v>146</v>
      </c>
      <c r="B55" s="70" t="s">
        <v>147</v>
      </c>
      <c r="C55" s="71"/>
      <c r="D55" s="71"/>
      <c r="E55" s="71"/>
      <c r="F55" s="71"/>
      <c r="G55" s="186" t="s">
        <v>148</v>
      </c>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row>
    <row r="56" spans="1:57" ht="19.5" customHeight="1">
      <c r="A56" s="70" t="s">
        <v>149</v>
      </c>
      <c r="B56" s="70" t="s">
        <v>147</v>
      </c>
      <c r="C56" s="71"/>
      <c r="D56" s="71"/>
      <c r="E56" s="71"/>
      <c r="F56" s="71"/>
      <c r="G56" s="187"/>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row>
    <row r="57" spans="1:57" ht="14.25" customHeight="1">
      <c r="A57" s="72" t="s">
        <v>150</v>
      </c>
      <c r="B57" s="72" t="s">
        <v>151</v>
      </c>
      <c r="C57" s="73"/>
      <c r="D57" s="73"/>
      <c r="E57" s="73"/>
      <c r="F57" s="73"/>
      <c r="G57" s="187"/>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row>
    <row r="58" spans="1:57" ht="15.75" customHeight="1">
      <c r="A58" s="70" t="s">
        <v>152</v>
      </c>
      <c r="B58" s="70" t="s">
        <v>153</v>
      </c>
      <c r="C58" s="71"/>
      <c r="D58" s="71"/>
      <c r="E58" s="71"/>
      <c r="F58" s="71"/>
      <c r="G58" s="188"/>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row>
    <row r="59" spans="1:57" ht="14.25" customHeight="1">
      <c r="A59" s="74"/>
      <c r="B59" s="74"/>
      <c r="C59" s="74"/>
      <c r="D59" s="74"/>
      <c r="E59" s="74"/>
      <c r="F59" s="74"/>
      <c r="G59" s="74"/>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row>
    <row r="60" spans="1:57" ht="38.25" customHeight="1">
      <c r="A60" s="192" t="s">
        <v>227</v>
      </c>
      <c r="B60" s="192"/>
      <c r="C60" s="115" t="s">
        <v>201</v>
      </c>
      <c r="D60" s="71"/>
      <c r="E60" s="71"/>
      <c r="F60" s="71"/>
      <c r="G60" s="121" t="s">
        <v>202</v>
      </c>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row>
    <row r="61" spans="1:57" ht="14.25" customHeight="1">
      <c r="A61" s="191" t="s">
        <v>154</v>
      </c>
      <c r="B61" s="191"/>
      <c r="C61" s="191"/>
      <c r="D61" s="191"/>
      <c r="E61" s="191"/>
      <c r="F61" s="191"/>
      <c r="G61" s="191"/>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row>
    <row r="62" spans="1:57" ht="25.5">
      <c r="A62" s="97" t="s">
        <v>140</v>
      </c>
      <c r="B62" s="97" t="s">
        <v>141</v>
      </c>
      <c r="C62" s="97" t="s">
        <v>155</v>
      </c>
      <c r="D62" s="97" t="s">
        <v>224</v>
      </c>
      <c r="E62" s="97" t="s">
        <v>156</v>
      </c>
      <c r="F62" s="97" t="s">
        <v>104</v>
      </c>
      <c r="G62" s="97" t="s">
        <v>223</v>
      </c>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row>
    <row r="63" spans="1:57" ht="14.25" customHeight="1">
      <c r="A63" s="116" t="s">
        <v>159</v>
      </c>
      <c r="B63" s="117" t="s">
        <v>158</v>
      </c>
      <c r="C63" s="75" t="s">
        <v>203</v>
      </c>
      <c r="D63" s="75" t="s">
        <v>203</v>
      </c>
      <c r="E63" s="75" t="s">
        <v>203</v>
      </c>
      <c r="F63" s="111"/>
      <c r="G63" s="179" t="s">
        <v>218</v>
      </c>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row>
    <row r="64" spans="1:57" ht="14.25" customHeight="1">
      <c r="A64" s="76" t="s">
        <v>157</v>
      </c>
      <c r="B64" s="77" t="s">
        <v>158</v>
      </c>
      <c r="C64" s="75" t="s">
        <v>203</v>
      </c>
      <c r="D64" s="75" t="s">
        <v>203</v>
      </c>
      <c r="E64" s="75" t="s">
        <v>203</v>
      </c>
      <c r="F64" s="111"/>
      <c r="G64" s="180"/>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row>
    <row r="65" spans="1:57" ht="14.25" customHeight="1">
      <c r="A65" s="105" t="s">
        <v>190</v>
      </c>
      <c r="B65" s="77" t="s">
        <v>158</v>
      </c>
      <c r="C65" s="75" t="s">
        <v>203</v>
      </c>
      <c r="D65" s="75" t="s">
        <v>203</v>
      </c>
      <c r="E65" s="75" t="s">
        <v>203</v>
      </c>
      <c r="F65" s="111"/>
      <c r="G65" s="180"/>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row>
    <row r="66" spans="1:57" ht="14.25" customHeight="1">
      <c r="A66" s="105" t="s">
        <v>189</v>
      </c>
      <c r="B66" s="77" t="s">
        <v>158</v>
      </c>
      <c r="C66" s="126" t="s">
        <v>203</v>
      </c>
      <c r="D66" s="126" t="s">
        <v>203</v>
      </c>
      <c r="E66" s="126" t="s">
        <v>203</v>
      </c>
      <c r="F66" s="122"/>
      <c r="G66" s="180"/>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row>
    <row r="67" spans="1:57" ht="14.25" customHeight="1">
      <c r="A67" s="76" t="s">
        <v>160</v>
      </c>
      <c r="B67" s="125" t="s">
        <v>161</v>
      </c>
      <c r="C67" s="181" t="s">
        <v>162</v>
      </c>
      <c r="D67" s="181"/>
      <c r="E67" s="181"/>
      <c r="F67" s="124"/>
      <c r="G67" s="180"/>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row>
    <row r="68" spans="1:57" ht="14.25" customHeight="1">
      <c r="A68" s="76" t="s">
        <v>163</v>
      </c>
      <c r="B68" s="125" t="s">
        <v>164</v>
      </c>
      <c r="C68" s="181"/>
      <c r="D68" s="181"/>
      <c r="E68" s="181"/>
      <c r="F68" s="124"/>
      <c r="G68" s="180"/>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row>
    <row r="69" spans="1:57" ht="14.25" customHeight="1">
      <c r="A69" s="76" t="s">
        <v>165</v>
      </c>
      <c r="B69" s="77" t="s">
        <v>166</v>
      </c>
      <c r="C69" s="75" t="s">
        <v>203</v>
      </c>
      <c r="D69" s="75" t="s">
        <v>203</v>
      </c>
      <c r="E69" s="75" t="s">
        <v>203</v>
      </c>
      <c r="F69" s="123"/>
      <c r="G69" s="180"/>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row>
    <row r="70" spans="1:57" ht="14.25" customHeight="1">
      <c r="A70" s="76" t="s">
        <v>167</v>
      </c>
      <c r="B70" s="77" t="s">
        <v>168</v>
      </c>
      <c r="C70" s="78"/>
      <c r="D70" s="79"/>
      <c r="E70" s="79"/>
      <c r="F70" s="111"/>
      <c r="G70" s="180"/>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row>
    <row r="71" spans="1:57" ht="14.25" customHeight="1">
      <c r="A71" s="76" t="s">
        <v>169</v>
      </c>
      <c r="B71" s="77" t="s">
        <v>168</v>
      </c>
      <c r="C71" s="78"/>
      <c r="D71" s="79"/>
      <c r="E71" s="79"/>
      <c r="F71" s="111"/>
      <c r="G71" s="180"/>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row>
    <row r="72" spans="1:57" ht="71.25" customHeight="1">
      <c r="A72" s="70" t="s">
        <v>170</v>
      </c>
      <c r="B72" s="77" t="s">
        <v>171</v>
      </c>
      <c r="C72" s="78"/>
      <c r="D72" s="79"/>
      <c r="E72" s="79"/>
      <c r="F72" s="111"/>
      <c r="G72" s="180"/>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row>
    <row r="73" spans="1:57" ht="14.25" customHeight="1">
      <c r="A73" s="104"/>
      <c r="B73" s="55"/>
      <c r="C73" s="55"/>
      <c r="D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row>
    <row r="74" spans="1:57" ht="14.2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row>
    <row r="75" spans="1:57" ht="14.2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row>
    <row r="76" spans="1:57" ht="14.2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row>
    <row r="77" spans="1:57" ht="14.2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row>
    <row r="78" spans="1:57" ht="14.2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row>
    <row r="79" spans="1:57" ht="14.2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row>
    <row r="80" spans="1:57" ht="14.2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row>
    <row r="81" spans="1:56" ht="14.2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row>
    <row r="82" spans="1:56" ht="14.2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row>
    <row r="83" spans="1:56" ht="14.2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row>
    <row r="84" spans="1:56" ht="14.2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row>
    <row r="85" spans="1:56" ht="14.2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row>
    <row r="86" spans="1:56" ht="14.2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row>
    <row r="87" spans="1:56" ht="14.2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row>
    <row r="88" spans="1:56" ht="14.2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row>
    <row r="89" spans="1:56" ht="14.2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row>
    <row r="90" spans="1:56" ht="14.2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row>
    <row r="91" spans="1:56" ht="14.2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row>
    <row r="92" spans="1:56" ht="14.2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row>
    <row r="93" spans="1:56" ht="14.2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row>
    <row r="94" spans="1:56" ht="14.2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row>
    <row r="95" spans="1:56" ht="14.2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row>
    <row r="96" spans="1:56" ht="14.2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row>
    <row r="97" spans="1:56" ht="14.2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row>
    <row r="98" spans="1:56" ht="14.2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row>
    <row r="99" spans="1:56" ht="14.2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row>
    <row r="100" spans="1:56" ht="14.2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row>
    <row r="101" spans="1:56" ht="14.2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row>
    <row r="102" spans="1:56" ht="14.2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row>
    <row r="103" spans="1:56" ht="14.2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row>
    <row r="104" spans="1:56" ht="14.2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row>
    <row r="105" spans="1:56" ht="14.2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row>
    <row r="106" spans="1:56" ht="14.2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row>
    <row r="107" spans="1:56" ht="14.2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row>
    <row r="108" spans="1:56" ht="14.2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row>
    <row r="109" spans="1:56" ht="14.2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row>
    <row r="110" spans="1:56" ht="14.2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row>
    <row r="111" spans="1:56" ht="14.2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row>
    <row r="112" spans="1:56" ht="14.2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row>
    <row r="113" spans="1:56" ht="14.2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row>
    <row r="114" spans="1:56" ht="14.2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row>
    <row r="115" spans="1:56" ht="14.2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row>
    <row r="116" spans="1:56" ht="14.2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c r="AZ116" s="55"/>
      <c r="BA116" s="55"/>
      <c r="BB116" s="55"/>
      <c r="BC116" s="55"/>
      <c r="BD116" s="55"/>
    </row>
    <row r="117" spans="1:56" ht="14.2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row>
    <row r="118" spans="1:56" ht="14.2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c r="AZ118" s="55"/>
      <c r="BA118" s="55"/>
      <c r="BB118" s="55"/>
      <c r="BC118" s="55"/>
      <c r="BD118" s="55"/>
    </row>
    <row r="119" spans="1:56" ht="14.2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c r="AZ119" s="55"/>
      <c r="BA119" s="55"/>
      <c r="BB119" s="55"/>
      <c r="BC119" s="55"/>
      <c r="BD119" s="55"/>
    </row>
    <row r="120" spans="1:56" ht="14.2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c r="AZ120" s="55"/>
      <c r="BA120" s="55"/>
      <c r="BB120" s="55"/>
      <c r="BC120" s="55"/>
      <c r="BD120" s="55"/>
    </row>
    <row r="121" spans="1:56" ht="14.2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row>
    <row r="122" spans="1:56" ht="14.2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c r="AZ122" s="55"/>
      <c r="BA122" s="55"/>
      <c r="BB122" s="55"/>
      <c r="BC122" s="55"/>
      <c r="BD122" s="55"/>
    </row>
    <row r="123" spans="1:56" ht="14.2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c r="AZ123" s="55"/>
      <c r="BA123" s="55"/>
      <c r="BB123" s="55"/>
      <c r="BC123" s="55"/>
      <c r="BD123" s="55"/>
    </row>
    <row r="124" spans="1:56" ht="14.2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c r="AZ124" s="55"/>
      <c r="BA124" s="55"/>
      <c r="BB124" s="55"/>
      <c r="BC124" s="55"/>
      <c r="BD124" s="55"/>
    </row>
    <row r="125" spans="1:56" ht="14.2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row>
    <row r="126" spans="1:56" ht="14.2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c r="AZ126" s="55"/>
      <c r="BA126" s="55"/>
      <c r="BB126" s="55"/>
      <c r="BC126" s="55"/>
      <c r="BD126" s="55"/>
    </row>
    <row r="127" spans="1:56" ht="14.2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c r="AZ127" s="55"/>
      <c r="BA127" s="55"/>
      <c r="BB127" s="55"/>
      <c r="BC127" s="55"/>
      <c r="BD127" s="55"/>
    </row>
    <row r="128" spans="1:56" ht="14.2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c r="AZ128" s="55"/>
      <c r="BA128" s="55"/>
      <c r="BB128" s="55"/>
      <c r="BC128" s="55"/>
      <c r="BD128" s="55"/>
    </row>
    <row r="129" spans="1:56" ht="14.2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c r="AZ129" s="55"/>
      <c r="BA129" s="55"/>
      <c r="BB129" s="55"/>
      <c r="BC129" s="55"/>
      <c r="BD129" s="55"/>
    </row>
    <row r="130" spans="1:56" ht="14.2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5"/>
    </row>
    <row r="131" spans="1:56" ht="14.2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c r="AZ131" s="55"/>
      <c r="BA131" s="55"/>
      <c r="BB131" s="55"/>
      <c r="BC131" s="55"/>
      <c r="BD131" s="55"/>
    </row>
    <row r="132" spans="1:56" ht="14.2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c r="AZ132" s="55"/>
      <c r="BA132" s="55"/>
      <c r="BB132" s="55"/>
      <c r="BC132" s="55"/>
      <c r="BD132" s="55"/>
    </row>
    <row r="133" spans="1:56" ht="14.2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row>
    <row r="134" spans="1:56" ht="14.2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c r="AZ134" s="55"/>
      <c r="BA134" s="55"/>
      <c r="BB134" s="55"/>
      <c r="BC134" s="55"/>
      <c r="BD134" s="55"/>
    </row>
    <row r="135" spans="1:56" ht="14.2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c r="AS135" s="55"/>
      <c r="AT135" s="55"/>
      <c r="AU135" s="55"/>
      <c r="AV135" s="55"/>
      <c r="AW135" s="55"/>
      <c r="AX135" s="55"/>
      <c r="AY135" s="55"/>
      <c r="AZ135" s="55"/>
      <c r="BA135" s="55"/>
      <c r="BB135" s="55"/>
      <c r="BC135" s="55"/>
      <c r="BD135" s="55"/>
    </row>
    <row r="136" spans="1:56" ht="14.2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c r="AQ136" s="55"/>
      <c r="AR136" s="55"/>
      <c r="AS136" s="55"/>
      <c r="AT136" s="55"/>
      <c r="AU136" s="55"/>
      <c r="AV136" s="55"/>
      <c r="AW136" s="55"/>
      <c r="AX136" s="55"/>
      <c r="AY136" s="55"/>
      <c r="AZ136" s="55"/>
      <c r="BA136" s="55"/>
      <c r="BB136" s="55"/>
      <c r="BC136" s="55"/>
      <c r="BD136" s="55"/>
    </row>
    <row r="137" spans="1:56" ht="14.2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c r="AX137" s="55"/>
      <c r="AY137" s="55"/>
      <c r="AZ137" s="55"/>
      <c r="BA137" s="55"/>
      <c r="BB137" s="55"/>
      <c r="BC137" s="55"/>
      <c r="BD137" s="55"/>
    </row>
    <row r="138" spans="1:56" ht="14.2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c r="AQ138" s="55"/>
      <c r="AR138" s="55"/>
      <c r="AS138" s="55"/>
      <c r="AT138" s="55"/>
      <c r="AU138" s="55"/>
      <c r="AV138" s="55"/>
      <c r="AW138" s="55"/>
      <c r="AX138" s="55"/>
      <c r="AY138" s="55"/>
      <c r="AZ138" s="55"/>
      <c r="BA138" s="55"/>
      <c r="BB138" s="55"/>
      <c r="BC138" s="55"/>
      <c r="BD138" s="55"/>
    </row>
    <row r="139" spans="1:56" ht="14.2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c r="AZ139" s="55"/>
      <c r="BA139" s="55"/>
      <c r="BB139" s="55"/>
      <c r="BC139" s="55"/>
      <c r="BD139" s="55"/>
    </row>
    <row r="140" spans="1:56" ht="14.2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c r="AZ140" s="55"/>
      <c r="BA140" s="55"/>
      <c r="BB140" s="55"/>
      <c r="BC140" s="55"/>
      <c r="BD140" s="55"/>
    </row>
    <row r="141" spans="1:56" ht="14.2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c r="AZ141" s="55"/>
      <c r="BA141" s="55"/>
      <c r="BB141" s="55"/>
      <c r="BC141" s="55"/>
      <c r="BD141" s="55"/>
    </row>
    <row r="142" spans="1:56" ht="14.2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c r="AZ142" s="55"/>
      <c r="BA142" s="55"/>
      <c r="BB142" s="55"/>
      <c r="BC142" s="55"/>
      <c r="BD142" s="55"/>
    </row>
    <row r="143" spans="1:56" ht="14.2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row>
    <row r="144" spans="1:56" ht="14.2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row>
    <row r="145" spans="1:56" ht="14.2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c r="AZ145" s="55"/>
      <c r="BA145" s="55"/>
      <c r="BB145" s="55"/>
      <c r="BC145" s="55"/>
      <c r="BD145" s="55"/>
    </row>
    <row r="146" spans="1:56" ht="14.2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c r="AZ146" s="55"/>
      <c r="BA146" s="55"/>
      <c r="BB146" s="55"/>
      <c r="BC146" s="55"/>
      <c r="BD146" s="55"/>
    </row>
    <row r="147" spans="1:56" ht="14.2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c r="AZ147" s="55"/>
      <c r="BA147" s="55"/>
      <c r="BB147" s="55"/>
      <c r="BC147" s="55"/>
      <c r="BD147" s="55"/>
    </row>
    <row r="148" spans="1:56" ht="14.2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c r="BA148" s="55"/>
      <c r="BB148" s="55"/>
      <c r="BC148" s="55"/>
      <c r="BD148" s="55"/>
    </row>
    <row r="149" spans="1:56" ht="14.2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c r="AZ149" s="55"/>
      <c r="BA149" s="55"/>
      <c r="BB149" s="55"/>
      <c r="BC149" s="55"/>
      <c r="BD149" s="55"/>
    </row>
    <row r="150" spans="1:56" ht="14.2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row>
    <row r="151" spans="1:56" ht="14.2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c r="BC151" s="55"/>
      <c r="BD151" s="55"/>
    </row>
    <row r="152" spans="1:56" ht="14.2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row>
    <row r="153" spans="1:56" ht="14.2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row>
    <row r="154" spans="1:56" ht="14.2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row>
    <row r="155" spans="1:56" ht="14.2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c r="BC155" s="55"/>
      <c r="BD155" s="55"/>
    </row>
    <row r="156" spans="1:56" ht="14.2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c r="AZ156" s="55"/>
      <c r="BA156" s="55"/>
      <c r="BB156" s="55"/>
      <c r="BC156" s="55"/>
      <c r="BD156" s="55"/>
    </row>
    <row r="157" spans="1:56" ht="14.2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c r="BC157" s="55"/>
      <c r="BD157" s="55"/>
    </row>
    <row r="158" spans="1:56" ht="14.2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c r="AZ158" s="55"/>
      <c r="BA158" s="55"/>
      <c r="BB158" s="55"/>
      <c r="BC158" s="55"/>
      <c r="BD158" s="55"/>
    </row>
    <row r="159" spans="1:56" ht="14.2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c r="AZ159" s="55"/>
      <c r="BA159" s="55"/>
      <c r="BB159" s="55"/>
      <c r="BC159" s="55"/>
      <c r="BD159" s="55"/>
    </row>
    <row r="160" spans="1:56" ht="14.2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row>
    <row r="161" spans="1:56" ht="14.2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c r="AZ161" s="55"/>
      <c r="BA161" s="55"/>
      <c r="BB161" s="55"/>
      <c r="BC161" s="55"/>
      <c r="BD161" s="55"/>
    </row>
    <row r="162" spans="1:56" ht="14.2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c r="BC162" s="55"/>
      <c r="BD162" s="55"/>
    </row>
    <row r="163" spans="1:56" ht="14.2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c r="AZ163" s="55"/>
      <c r="BA163" s="55"/>
      <c r="BB163" s="55"/>
      <c r="BC163" s="55"/>
      <c r="BD163" s="55"/>
    </row>
    <row r="164" spans="1:56" ht="14.2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c r="AZ164" s="55"/>
      <c r="BA164" s="55"/>
      <c r="BB164" s="55"/>
      <c r="BC164" s="55"/>
      <c r="BD164" s="55"/>
    </row>
    <row r="165" spans="1:56" ht="14.25" customHeight="1">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c r="BC165" s="55"/>
      <c r="BD165" s="55"/>
    </row>
    <row r="166" spans="1:56" ht="14.25" customHeight="1">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c r="AZ166" s="55"/>
      <c r="BA166" s="55"/>
      <c r="BB166" s="55"/>
      <c r="BC166" s="55"/>
      <c r="BD166" s="55"/>
    </row>
    <row r="167" spans="1:56" ht="14.25" customHeight="1">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c r="BC167" s="55"/>
      <c r="BD167" s="55"/>
    </row>
    <row r="168" spans="1:56" ht="14.25" customHeight="1">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c r="BA168" s="55"/>
      <c r="BB168" s="55"/>
      <c r="BC168" s="55"/>
      <c r="BD168" s="55"/>
    </row>
    <row r="169" spans="1:56" ht="14.25" customHeight="1">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c r="BA169" s="55"/>
      <c r="BB169" s="55"/>
      <c r="BC169" s="55"/>
      <c r="BD169" s="55"/>
    </row>
    <row r="170" spans="1:56" ht="14.25" customHeight="1">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c r="BC170" s="55"/>
      <c r="BD170" s="55"/>
    </row>
    <row r="171" spans="1:56" ht="14.25" customHeight="1">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AZ171" s="55"/>
      <c r="BA171" s="55"/>
      <c r="BB171" s="55"/>
      <c r="BC171" s="55"/>
      <c r="BD171" s="55"/>
    </row>
    <row r="172" spans="1:56" ht="14.25" customHeight="1">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AZ172" s="55"/>
      <c r="BA172" s="55"/>
      <c r="BB172" s="55"/>
      <c r="BC172" s="55"/>
      <c r="BD172" s="55"/>
    </row>
    <row r="173" spans="1:56" ht="14.25" customHeight="1">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AZ173" s="55"/>
      <c r="BA173" s="55"/>
      <c r="BB173" s="55"/>
      <c r="BC173" s="55"/>
      <c r="BD173" s="55"/>
    </row>
    <row r="174" spans="1:56" ht="14.25" customHeight="1">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c r="BC174" s="55"/>
      <c r="BD174" s="55"/>
    </row>
    <row r="175" spans="1:56" ht="14.25" customHeight="1">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c r="BC175" s="55"/>
      <c r="BD175" s="55"/>
    </row>
    <row r="176" spans="1:56" ht="14.25" customHeight="1">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row>
    <row r="177" spans="7:56" ht="14.25" customHeight="1">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row>
    <row r="178" spans="7:56" ht="14.25" customHeight="1">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c r="BC178" s="55"/>
      <c r="BD178" s="55"/>
    </row>
    <row r="179" spans="7:56" ht="14.25" customHeight="1">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AZ179" s="55"/>
      <c r="BA179" s="55"/>
      <c r="BB179" s="55"/>
      <c r="BC179" s="55"/>
      <c r="BD179" s="55"/>
    </row>
    <row r="180" spans="7:56" ht="14.25" customHeight="1">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AZ180" s="55"/>
      <c r="BA180" s="55"/>
      <c r="BB180" s="55"/>
      <c r="BC180" s="55"/>
      <c r="BD180" s="55"/>
    </row>
    <row r="181" spans="7:56" ht="14.25" customHeight="1">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AZ181" s="55"/>
      <c r="BA181" s="55"/>
      <c r="BB181" s="55"/>
      <c r="BC181" s="55"/>
      <c r="BD181" s="55"/>
    </row>
    <row r="182" spans="7:56" ht="14.25" customHeight="1">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c r="BA182" s="55"/>
      <c r="BB182" s="55"/>
      <c r="BC182" s="55"/>
      <c r="BD182" s="55"/>
    </row>
    <row r="183" spans="7:56" ht="14.25" customHeight="1">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AZ183" s="55"/>
      <c r="BA183" s="55"/>
      <c r="BB183" s="55"/>
      <c r="BC183" s="55"/>
      <c r="BD183" s="55"/>
    </row>
    <row r="184" spans="7:56" ht="14.25" customHeight="1">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AZ184" s="55"/>
      <c r="BA184" s="55"/>
      <c r="BB184" s="55"/>
      <c r="BC184" s="55"/>
      <c r="BD184" s="55"/>
    </row>
    <row r="185" spans="7:56" ht="14.25" customHeight="1">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55"/>
      <c r="BA185" s="55"/>
      <c r="BB185" s="55"/>
      <c r="BC185" s="55"/>
      <c r="BD185" s="55"/>
    </row>
    <row r="186" spans="7:56" ht="14.25" customHeight="1">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c r="BC186" s="55"/>
      <c r="BD186" s="55"/>
    </row>
    <row r="187" spans="7:56" ht="14.25" customHeight="1">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AZ187" s="55"/>
      <c r="BA187" s="55"/>
      <c r="BB187" s="55"/>
      <c r="BC187" s="55"/>
      <c r="BD187" s="55"/>
    </row>
    <row r="188" spans="7:56" ht="14.25" customHeight="1">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AZ188" s="55"/>
      <c r="BA188" s="55"/>
      <c r="BB188" s="55"/>
      <c r="BC188" s="55"/>
      <c r="BD188" s="55"/>
    </row>
    <row r="189" spans="7:56" ht="14.25" customHeight="1">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c r="BA189" s="55"/>
      <c r="BB189" s="55"/>
      <c r="BC189" s="55"/>
      <c r="BD189" s="55"/>
    </row>
    <row r="190" spans="7:56" ht="14.25" customHeight="1">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AZ190" s="55"/>
      <c r="BA190" s="55"/>
      <c r="BB190" s="55"/>
      <c r="BC190" s="55"/>
      <c r="BD190" s="55"/>
    </row>
    <row r="191" spans="7:56" ht="14.25" customHeight="1">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c r="BA191" s="55"/>
      <c r="BB191" s="55"/>
      <c r="BC191" s="55"/>
      <c r="BD191" s="55"/>
    </row>
    <row r="192" spans="7:56" ht="14.25" customHeight="1">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c r="BA192" s="55"/>
      <c r="BB192" s="55"/>
      <c r="BC192" s="55"/>
      <c r="BD192" s="55"/>
    </row>
    <row r="193" spans="7:56" ht="14.25" customHeight="1">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c r="BC193" s="55"/>
      <c r="BD193" s="55"/>
    </row>
    <row r="194" spans="7:56" ht="14.25" customHeight="1">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c r="AZ194" s="55"/>
      <c r="BA194" s="55"/>
      <c r="BB194" s="55"/>
      <c r="BC194" s="55"/>
      <c r="BD194" s="55"/>
    </row>
    <row r="195" spans="7:56" ht="14.25" customHeight="1">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c r="BC195" s="55"/>
      <c r="BD195" s="55"/>
    </row>
    <row r="196" spans="7:56" ht="14.25" customHeight="1">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c r="BC196" s="55"/>
      <c r="BD196" s="55"/>
    </row>
    <row r="197" spans="7:56" ht="14.25" customHeight="1">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row>
    <row r="198" spans="7:56" ht="14.25" customHeight="1">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c r="AZ198" s="55"/>
      <c r="BA198" s="55"/>
      <c r="BB198" s="55"/>
      <c r="BC198" s="55"/>
      <c r="BD198" s="55"/>
    </row>
    <row r="199" spans="7:56" ht="14.25" customHeight="1">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c r="AZ199" s="55"/>
      <c r="BA199" s="55"/>
      <c r="BB199" s="55"/>
      <c r="BC199" s="55"/>
      <c r="BD199" s="55"/>
    </row>
    <row r="200" spans="7:56" ht="14.25" customHeight="1">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c r="BC200" s="55"/>
      <c r="BD200" s="55"/>
    </row>
    <row r="201" spans="7:56" ht="14.25" customHeight="1">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c r="AZ201" s="55"/>
      <c r="BA201" s="55"/>
      <c r="BB201" s="55"/>
      <c r="BC201" s="55"/>
      <c r="BD201" s="55"/>
    </row>
    <row r="202" spans="7:56" ht="14.25" customHeight="1">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c r="AS202" s="55"/>
      <c r="AT202" s="55"/>
      <c r="AU202" s="55"/>
      <c r="AV202" s="55"/>
      <c r="AW202" s="55"/>
      <c r="AX202" s="55"/>
      <c r="AY202" s="55"/>
      <c r="AZ202" s="55"/>
      <c r="BA202" s="55"/>
      <c r="BB202" s="55"/>
      <c r="BC202" s="55"/>
      <c r="BD202" s="55"/>
    </row>
    <row r="203" spans="7:56" ht="14.25" customHeight="1">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c r="BC203" s="55"/>
      <c r="BD203" s="55"/>
    </row>
    <row r="204" spans="7:56" ht="14.25" customHeight="1">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c r="BC204" s="55"/>
      <c r="BD204" s="55"/>
    </row>
    <row r="205" spans="7:56" ht="14.25" customHeight="1">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c r="AX205" s="55"/>
      <c r="AY205" s="55"/>
      <c r="AZ205" s="55"/>
      <c r="BA205" s="55"/>
      <c r="BB205" s="55"/>
      <c r="BC205" s="55"/>
      <c r="BD205" s="55"/>
    </row>
    <row r="206" spans="7:56" ht="14.25" customHeight="1">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c r="AX206" s="55"/>
      <c r="AY206" s="55"/>
      <c r="AZ206" s="55"/>
      <c r="BA206" s="55"/>
      <c r="BB206" s="55"/>
      <c r="BC206" s="55"/>
      <c r="BD206" s="55"/>
    </row>
    <row r="207" spans="7:56" ht="14.25" customHeight="1">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c r="AX207" s="55"/>
      <c r="AY207" s="55"/>
      <c r="AZ207" s="55"/>
      <c r="BA207" s="55"/>
      <c r="BB207" s="55"/>
      <c r="BC207" s="55"/>
      <c r="BD207" s="55"/>
    </row>
    <row r="208" spans="7:56" ht="14.25" customHeight="1">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c r="AX208" s="55"/>
      <c r="AY208" s="55"/>
      <c r="AZ208" s="55"/>
      <c r="BA208" s="55"/>
      <c r="BB208" s="55"/>
      <c r="BC208" s="55"/>
      <c r="BD208" s="55"/>
    </row>
    <row r="209" spans="7:56" ht="14.25" customHeight="1">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c r="BC209" s="55"/>
      <c r="BD209" s="55"/>
    </row>
    <row r="210" spans="7:56" ht="14.25" customHeight="1">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c r="AS210" s="55"/>
      <c r="AT210" s="55"/>
      <c r="AU210" s="55"/>
      <c r="AV210" s="55"/>
      <c r="AW210" s="55"/>
      <c r="AX210" s="55"/>
      <c r="AY210" s="55"/>
      <c r="AZ210" s="55"/>
      <c r="BA210" s="55"/>
      <c r="BB210" s="55"/>
      <c r="BC210" s="55"/>
      <c r="BD210" s="55"/>
    </row>
    <row r="211" spans="7:56" ht="14.25" customHeight="1">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c r="AS211" s="55"/>
      <c r="AT211" s="55"/>
      <c r="AU211" s="55"/>
      <c r="AV211" s="55"/>
      <c r="AW211" s="55"/>
      <c r="AX211" s="55"/>
      <c r="AY211" s="55"/>
      <c r="AZ211" s="55"/>
      <c r="BA211" s="55"/>
      <c r="BB211" s="55"/>
      <c r="BC211" s="55"/>
      <c r="BD211" s="55"/>
    </row>
    <row r="212" spans="7:56" ht="14.25" customHeight="1">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c r="AX212" s="55"/>
      <c r="AY212" s="55"/>
      <c r="AZ212" s="55"/>
      <c r="BA212" s="55"/>
      <c r="BB212" s="55"/>
      <c r="BC212" s="55"/>
      <c r="BD212" s="55"/>
    </row>
    <row r="213" spans="7:56" ht="14.25" customHeight="1">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c r="AX213" s="55"/>
      <c r="AY213" s="55"/>
      <c r="AZ213" s="55"/>
      <c r="BA213" s="55"/>
      <c r="BB213" s="55"/>
      <c r="BC213" s="55"/>
      <c r="BD213" s="55"/>
    </row>
    <row r="214" spans="7:56" ht="14.25" customHeight="1">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c r="BC214" s="55"/>
      <c r="BD214" s="55"/>
    </row>
    <row r="215" spans="7:56" ht="14.25" customHeight="1">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55"/>
      <c r="AX215" s="55"/>
      <c r="AY215" s="55"/>
      <c r="AZ215" s="55"/>
      <c r="BA215" s="55"/>
      <c r="BB215" s="55"/>
      <c r="BC215" s="55"/>
      <c r="BD215" s="55"/>
    </row>
    <row r="216" spans="7:56" ht="14.25" customHeight="1">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55"/>
      <c r="AX216" s="55"/>
      <c r="AY216" s="55"/>
      <c r="AZ216" s="55"/>
      <c r="BA216" s="55"/>
      <c r="BB216" s="55"/>
      <c r="BC216" s="55"/>
      <c r="BD216" s="55"/>
    </row>
    <row r="217" spans="7:56" ht="14.25" customHeight="1">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55"/>
      <c r="AX217" s="55"/>
      <c r="AY217" s="55"/>
      <c r="AZ217" s="55"/>
      <c r="BA217" s="55"/>
      <c r="BB217" s="55"/>
      <c r="BC217" s="55"/>
      <c r="BD217" s="55"/>
    </row>
    <row r="218" spans="7:56" ht="14.25" customHeight="1">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c r="BC218" s="55"/>
      <c r="BD218" s="55"/>
    </row>
    <row r="219" spans="7:56" ht="14.25" customHeight="1">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c r="AS219" s="55"/>
      <c r="AT219" s="55"/>
      <c r="AU219" s="55"/>
      <c r="AV219" s="55"/>
      <c r="AW219" s="55"/>
      <c r="AX219" s="55"/>
      <c r="AY219" s="55"/>
      <c r="AZ219" s="55"/>
      <c r="BA219" s="55"/>
      <c r="BB219" s="55"/>
      <c r="BC219" s="55"/>
      <c r="BD219" s="55"/>
    </row>
    <row r="220" spans="7:56" ht="14.25" customHeight="1">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c r="BC220" s="55"/>
      <c r="BD220" s="55"/>
    </row>
    <row r="221" spans="7:56" ht="14.25" customHeight="1">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c r="BC221" s="55"/>
      <c r="BD221" s="55"/>
    </row>
    <row r="222" spans="7:56" ht="14.25" customHeight="1">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c r="BC222" s="55"/>
      <c r="BD222" s="55"/>
    </row>
    <row r="223" spans="7:56" ht="14.25" customHeight="1">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55"/>
      <c r="AY223" s="55"/>
      <c r="AZ223" s="55"/>
      <c r="BA223" s="55"/>
      <c r="BB223" s="55"/>
      <c r="BC223" s="55"/>
      <c r="BD223" s="55"/>
    </row>
    <row r="224" spans="7:56" ht="14.25" customHeight="1">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row>
    <row r="225" spans="13:56" ht="14.25" customHeight="1">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c r="AS225" s="55"/>
      <c r="AT225" s="55"/>
      <c r="AU225" s="55"/>
      <c r="AV225" s="55"/>
      <c r="AW225" s="55"/>
      <c r="AX225" s="55"/>
      <c r="AY225" s="55"/>
      <c r="AZ225" s="55"/>
      <c r="BA225" s="55"/>
      <c r="BB225" s="55"/>
      <c r="BC225" s="55"/>
      <c r="BD225" s="55"/>
    </row>
    <row r="226" spans="13:56" ht="14.25" customHeight="1">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c r="BC226" s="55"/>
      <c r="BD226" s="55"/>
    </row>
    <row r="227" spans="13:56" ht="14.25" customHeight="1">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c r="AS227" s="55"/>
      <c r="AT227" s="55"/>
      <c r="AU227" s="55"/>
      <c r="AV227" s="55"/>
      <c r="AW227" s="55"/>
      <c r="AX227" s="55"/>
      <c r="AY227" s="55"/>
      <c r="AZ227" s="55"/>
      <c r="BA227" s="55"/>
      <c r="BB227" s="55"/>
      <c r="BC227" s="55"/>
      <c r="BD227" s="55"/>
    </row>
    <row r="228" spans="13:56" ht="14.25" customHeight="1">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c r="BC228" s="55"/>
      <c r="BD228" s="55"/>
    </row>
    <row r="229" spans="13:56" ht="14.25" customHeight="1">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c r="AS229" s="55"/>
      <c r="AT229" s="55"/>
      <c r="AU229" s="55"/>
      <c r="AV229" s="55"/>
      <c r="AW229" s="55"/>
      <c r="AX229" s="55"/>
      <c r="AY229" s="55"/>
      <c r="AZ229" s="55"/>
      <c r="BA229" s="55"/>
      <c r="BB229" s="55"/>
      <c r="BC229" s="55"/>
      <c r="BD229" s="55"/>
    </row>
    <row r="230" spans="13:56" ht="14.25" customHeight="1">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c r="AS230" s="55"/>
      <c r="AT230" s="55"/>
      <c r="AU230" s="55"/>
      <c r="AV230" s="55"/>
      <c r="AW230" s="55"/>
      <c r="AX230" s="55"/>
      <c r="AY230" s="55"/>
      <c r="AZ230" s="55"/>
      <c r="BA230" s="55"/>
      <c r="BB230" s="55"/>
      <c r="BC230" s="55"/>
      <c r="BD230" s="55"/>
    </row>
    <row r="231" spans="13:56" ht="14.25" customHeight="1">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c r="BC231" s="55"/>
      <c r="BD231" s="55"/>
    </row>
    <row r="232" spans="13:56" ht="14.25" customHeight="1">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c r="BC232" s="55"/>
      <c r="BD232" s="55"/>
    </row>
    <row r="233" spans="13:56" ht="14.25" customHeight="1">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c r="BC233" s="55"/>
      <c r="BD233" s="55"/>
    </row>
    <row r="234" spans="13:56" ht="14.25" customHeight="1">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c r="AZ234" s="55"/>
      <c r="BA234" s="55"/>
      <c r="BB234" s="55"/>
      <c r="BC234" s="55"/>
      <c r="BD234" s="55"/>
    </row>
    <row r="235" spans="13:56" ht="14.25" customHeight="1">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c r="AX235" s="55"/>
      <c r="AY235" s="55"/>
      <c r="AZ235" s="55"/>
      <c r="BA235" s="55"/>
      <c r="BB235" s="55"/>
      <c r="BC235" s="55"/>
      <c r="BD235" s="55"/>
    </row>
    <row r="236" spans="13:56" ht="14.25" customHeight="1">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c r="AS236" s="55"/>
      <c r="AT236" s="55"/>
      <c r="AU236" s="55"/>
      <c r="AV236" s="55"/>
      <c r="AW236" s="55"/>
      <c r="AX236" s="55"/>
      <c r="AY236" s="55"/>
      <c r="AZ236" s="55"/>
      <c r="BA236" s="55"/>
      <c r="BB236" s="55"/>
      <c r="BC236" s="55"/>
      <c r="BD236" s="55"/>
    </row>
    <row r="237" spans="13:56" ht="14.25" customHeight="1">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c r="AS237" s="55"/>
      <c r="AT237" s="55"/>
      <c r="AU237" s="55"/>
      <c r="AV237" s="55"/>
      <c r="AW237" s="55"/>
      <c r="AX237" s="55"/>
      <c r="AY237" s="55"/>
      <c r="AZ237" s="55"/>
      <c r="BA237" s="55"/>
      <c r="BB237" s="55"/>
      <c r="BC237" s="55"/>
      <c r="BD237" s="55"/>
    </row>
    <row r="238" spans="13:56" ht="14.25" customHeight="1">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c r="AS238" s="55"/>
      <c r="AT238" s="55"/>
      <c r="AU238" s="55"/>
      <c r="AV238" s="55"/>
      <c r="AW238" s="55"/>
      <c r="AX238" s="55"/>
      <c r="AY238" s="55"/>
      <c r="AZ238" s="55"/>
      <c r="BA238" s="55"/>
      <c r="BB238" s="55"/>
      <c r="BC238" s="55"/>
      <c r="BD238" s="55"/>
    </row>
    <row r="239" spans="13:56" ht="14.25" customHeight="1">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c r="BC239" s="55"/>
      <c r="BD239" s="55"/>
    </row>
    <row r="240" spans="13:56" ht="14.25" customHeight="1">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row>
    <row r="241" spans="13:56" ht="14.25" customHeight="1">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c r="AS241" s="55"/>
      <c r="AT241" s="55"/>
      <c r="AU241" s="55"/>
      <c r="AV241" s="55"/>
      <c r="AW241" s="55"/>
      <c r="AX241" s="55"/>
      <c r="AY241" s="55"/>
      <c r="AZ241" s="55"/>
      <c r="BA241" s="55"/>
      <c r="BB241" s="55"/>
      <c r="BC241" s="55"/>
      <c r="BD241" s="55"/>
    </row>
    <row r="242" spans="13:56" ht="14.25" customHeight="1">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c r="AQ242" s="55"/>
      <c r="AR242" s="55"/>
      <c r="AS242" s="55"/>
      <c r="AT242" s="55"/>
      <c r="AU242" s="55"/>
      <c r="AV242" s="55"/>
      <c r="AW242" s="55"/>
      <c r="AX242" s="55"/>
      <c r="AY242" s="55"/>
      <c r="AZ242" s="55"/>
      <c r="BA242" s="55"/>
      <c r="BB242" s="55"/>
      <c r="BC242" s="55"/>
      <c r="BD242" s="55"/>
    </row>
    <row r="243" spans="13:56" ht="14.25" customHeight="1">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c r="AS243" s="55"/>
      <c r="AT243" s="55"/>
      <c r="AU243" s="55"/>
      <c r="AV243" s="55"/>
      <c r="AW243" s="55"/>
      <c r="AX243" s="55"/>
      <c r="AY243" s="55"/>
      <c r="AZ243" s="55"/>
      <c r="BA243" s="55"/>
      <c r="BB243" s="55"/>
      <c r="BC243" s="55"/>
      <c r="BD243" s="55"/>
    </row>
    <row r="244" spans="13:56" ht="14.25" customHeight="1">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c r="AS244" s="55"/>
      <c r="AT244" s="55"/>
      <c r="AU244" s="55"/>
      <c r="AV244" s="55"/>
      <c r="AW244" s="55"/>
      <c r="AX244" s="55"/>
      <c r="AY244" s="55"/>
      <c r="AZ244" s="55"/>
      <c r="BA244" s="55"/>
      <c r="BB244" s="55"/>
      <c r="BC244" s="55"/>
      <c r="BD244" s="55"/>
    </row>
    <row r="245" spans="13:56" ht="14.25" customHeight="1">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c r="AP245" s="55"/>
      <c r="AQ245" s="55"/>
      <c r="AR245" s="55"/>
      <c r="AS245" s="55"/>
      <c r="AT245" s="55"/>
      <c r="AU245" s="55"/>
      <c r="AV245" s="55"/>
      <c r="AW245" s="55"/>
      <c r="AX245" s="55"/>
      <c r="AY245" s="55"/>
      <c r="AZ245" s="55"/>
      <c r="BA245" s="55"/>
      <c r="BB245" s="55"/>
      <c r="BC245" s="55"/>
      <c r="BD245" s="55"/>
    </row>
    <row r="246" spans="13:56" ht="14.25" customHeight="1">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c r="AZ246" s="55"/>
      <c r="BA246" s="55"/>
      <c r="BB246" s="55"/>
      <c r="BC246" s="55"/>
      <c r="BD246" s="55"/>
    </row>
    <row r="247" spans="13:56" ht="14.25" customHeight="1">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c r="AS247" s="55"/>
      <c r="AT247" s="55"/>
      <c r="AU247" s="55"/>
      <c r="AV247" s="55"/>
      <c r="AW247" s="55"/>
      <c r="AX247" s="55"/>
      <c r="AY247" s="55"/>
      <c r="AZ247" s="55"/>
      <c r="BA247" s="55"/>
      <c r="BB247" s="55"/>
      <c r="BC247" s="55"/>
      <c r="BD247" s="55"/>
    </row>
    <row r="248" spans="13:56" ht="14.25" customHeight="1">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c r="AS248" s="55"/>
      <c r="AT248" s="55"/>
      <c r="AU248" s="55"/>
      <c r="AV248" s="55"/>
      <c r="AW248" s="55"/>
      <c r="AX248" s="55"/>
      <c r="AY248" s="55"/>
      <c r="AZ248" s="55"/>
      <c r="BA248" s="55"/>
      <c r="BB248" s="55"/>
      <c r="BC248" s="55"/>
      <c r="BD248" s="55"/>
    </row>
    <row r="249" spans="13:56" ht="14.25" customHeight="1">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c r="AZ249" s="55"/>
      <c r="BA249" s="55"/>
      <c r="BB249" s="55"/>
      <c r="BC249" s="55"/>
      <c r="BD249" s="55"/>
    </row>
    <row r="250" spans="13:56" ht="14.25" customHeight="1">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c r="AZ250" s="55"/>
      <c r="BA250" s="55"/>
      <c r="BB250" s="55"/>
      <c r="BC250" s="55"/>
      <c r="BD250" s="55"/>
    </row>
    <row r="251" spans="13:56" ht="14.25" customHeight="1">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row>
    <row r="252" spans="13:56" ht="14.25" customHeight="1">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row>
    <row r="253" spans="13:56" ht="14.25" customHeight="1">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row>
    <row r="254" spans="13:56" ht="14.25" customHeight="1">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row>
    <row r="255" spans="13:56" ht="14.25" customHeight="1">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row>
    <row r="256" spans="13:56" ht="14.25" customHeight="1">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row>
    <row r="257" spans="13:56" ht="14.25" customHeight="1">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c r="AZ257" s="55"/>
      <c r="BA257" s="55"/>
      <c r="BB257" s="55"/>
      <c r="BC257" s="55"/>
      <c r="BD257" s="55"/>
    </row>
    <row r="258" spans="13:56" ht="14.25" customHeight="1">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c r="AS258" s="55"/>
      <c r="AT258" s="55"/>
      <c r="AU258" s="55"/>
      <c r="AV258" s="55"/>
      <c r="AW258" s="55"/>
      <c r="AX258" s="55"/>
      <c r="AY258" s="55"/>
      <c r="AZ258" s="55"/>
      <c r="BA258" s="55"/>
      <c r="BB258" s="55"/>
      <c r="BC258" s="55"/>
      <c r="BD258" s="55"/>
    </row>
    <row r="259" spans="13:56" ht="14.25" customHeight="1">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c r="AS259" s="55"/>
      <c r="AT259" s="55"/>
      <c r="AU259" s="55"/>
      <c r="AV259" s="55"/>
      <c r="AW259" s="55"/>
      <c r="AX259" s="55"/>
      <c r="AY259" s="55"/>
      <c r="AZ259" s="55"/>
      <c r="BA259" s="55"/>
      <c r="BB259" s="55"/>
      <c r="BC259" s="55"/>
      <c r="BD259" s="55"/>
    </row>
    <row r="260" spans="13:56" ht="14.25" customHeight="1">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c r="AS260" s="55"/>
      <c r="AT260" s="55"/>
      <c r="AU260" s="55"/>
      <c r="AV260" s="55"/>
      <c r="AW260" s="55"/>
      <c r="AX260" s="55"/>
      <c r="AY260" s="55"/>
      <c r="AZ260" s="55"/>
      <c r="BA260" s="55"/>
      <c r="BB260" s="55"/>
      <c r="BC260" s="55"/>
      <c r="BD260" s="55"/>
    </row>
    <row r="261" spans="13:56" ht="14.25" customHeight="1">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c r="BC261" s="55"/>
      <c r="BD261" s="55"/>
    </row>
    <row r="262" spans="13:56" ht="14.25" customHeight="1">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c r="AS262" s="55"/>
      <c r="AT262" s="55"/>
      <c r="AU262" s="55"/>
      <c r="AV262" s="55"/>
      <c r="AW262" s="55"/>
      <c r="AX262" s="55"/>
      <c r="AY262" s="55"/>
      <c r="AZ262" s="55"/>
      <c r="BA262" s="55"/>
      <c r="BB262" s="55"/>
      <c r="BC262" s="55"/>
      <c r="BD262" s="55"/>
    </row>
    <row r="263" spans="13:56" ht="14.25" customHeight="1">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c r="AQ263" s="55"/>
      <c r="AR263" s="55"/>
      <c r="AS263" s="55"/>
      <c r="AT263" s="55"/>
      <c r="AU263" s="55"/>
      <c r="AV263" s="55"/>
      <c r="AW263" s="55"/>
      <c r="AX263" s="55"/>
      <c r="AY263" s="55"/>
      <c r="AZ263" s="55"/>
      <c r="BA263" s="55"/>
      <c r="BB263" s="55"/>
      <c r="BC263" s="55"/>
      <c r="BD263" s="55"/>
    </row>
    <row r="264" spans="13:56" ht="14.25" customHeight="1">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c r="AS264" s="55"/>
      <c r="AT264" s="55"/>
      <c r="AU264" s="55"/>
      <c r="AV264" s="55"/>
      <c r="AW264" s="55"/>
      <c r="AX264" s="55"/>
      <c r="AY264" s="55"/>
      <c r="AZ264" s="55"/>
      <c r="BA264" s="55"/>
      <c r="BB264" s="55"/>
      <c r="BC264" s="55"/>
      <c r="BD264" s="55"/>
    </row>
    <row r="265" spans="13:56" ht="14.25" customHeight="1">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c r="AS265" s="55"/>
      <c r="AT265" s="55"/>
      <c r="AU265" s="55"/>
      <c r="AV265" s="55"/>
      <c r="AW265" s="55"/>
      <c r="AX265" s="55"/>
      <c r="AY265" s="55"/>
      <c r="AZ265" s="55"/>
      <c r="BA265" s="55"/>
      <c r="BB265" s="55"/>
      <c r="BC265" s="55"/>
      <c r="BD265" s="55"/>
    </row>
    <row r="266" spans="13:56" ht="14.25" customHeight="1">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c r="BC266" s="55"/>
      <c r="BD266" s="55"/>
    </row>
    <row r="267" spans="13:56" ht="14.25" customHeight="1">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row>
    <row r="268" spans="13:56" ht="14.25" customHeight="1">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c r="AS268" s="55"/>
      <c r="AT268" s="55"/>
      <c r="AU268" s="55"/>
      <c r="AV268" s="55"/>
      <c r="AW268" s="55"/>
      <c r="AX268" s="55"/>
      <c r="AY268" s="55"/>
      <c r="AZ268" s="55"/>
      <c r="BA268" s="55"/>
      <c r="BB268" s="55"/>
      <c r="BC268" s="55"/>
      <c r="BD268" s="55"/>
    </row>
    <row r="269" spans="13:56" ht="14.25" customHeight="1">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c r="AQ269" s="55"/>
      <c r="AR269" s="55"/>
      <c r="AS269" s="55"/>
      <c r="AT269" s="55"/>
      <c r="AU269" s="55"/>
      <c r="AV269" s="55"/>
      <c r="AW269" s="55"/>
      <c r="AX269" s="55"/>
      <c r="AY269" s="55"/>
      <c r="AZ269" s="55"/>
      <c r="BA269" s="55"/>
      <c r="BB269" s="55"/>
      <c r="BC269" s="55"/>
      <c r="BD269" s="55"/>
    </row>
    <row r="270" spans="13:56" ht="14.25" customHeight="1">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c r="AQ270" s="55"/>
      <c r="AR270" s="55"/>
      <c r="AS270" s="55"/>
      <c r="AT270" s="55"/>
      <c r="AU270" s="55"/>
      <c r="AV270" s="55"/>
      <c r="AW270" s="55"/>
      <c r="AX270" s="55"/>
      <c r="AY270" s="55"/>
      <c r="AZ270" s="55"/>
      <c r="BA270" s="55"/>
      <c r="BB270" s="55"/>
      <c r="BC270" s="55"/>
      <c r="BD270" s="55"/>
    </row>
    <row r="271" spans="13:56" ht="14.25" customHeight="1">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c r="AQ271" s="55"/>
      <c r="AR271" s="55"/>
      <c r="AS271" s="55"/>
      <c r="AT271" s="55"/>
      <c r="AU271" s="55"/>
      <c r="AV271" s="55"/>
      <c r="AW271" s="55"/>
      <c r="AX271" s="55"/>
      <c r="AY271" s="55"/>
      <c r="AZ271" s="55"/>
      <c r="BA271" s="55"/>
      <c r="BB271" s="55"/>
      <c r="BC271" s="55"/>
      <c r="BD271" s="55"/>
    </row>
    <row r="272" spans="13:56" ht="14.25" customHeight="1">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c r="AP272" s="55"/>
      <c r="AQ272" s="55"/>
      <c r="AR272" s="55"/>
      <c r="AS272" s="55"/>
      <c r="AT272" s="55"/>
      <c r="AU272" s="55"/>
      <c r="AV272" s="55"/>
      <c r="AW272" s="55"/>
      <c r="AX272" s="55"/>
      <c r="AY272" s="55"/>
      <c r="AZ272" s="55"/>
      <c r="BA272" s="55"/>
      <c r="BB272" s="55"/>
      <c r="BC272" s="55"/>
      <c r="BD272" s="55"/>
    </row>
    <row r="273" spans="13:56" ht="14.25" customHeight="1">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c r="AP273" s="55"/>
      <c r="AQ273" s="55"/>
      <c r="AR273" s="55"/>
      <c r="AS273" s="55"/>
      <c r="AT273" s="55"/>
      <c r="AU273" s="55"/>
      <c r="AV273" s="55"/>
      <c r="AW273" s="55"/>
      <c r="AX273" s="55"/>
      <c r="AY273" s="55"/>
      <c r="AZ273" s="55"/>
      <c r="BA273" s="55"/>
      <c r="BB273" s="55"/>
      <c r="BC273" s="55"/>
      <c r="BD273" s="55"/>
    </row>
    <row r="274" spans="13:56" ht="14.25" customHeight="1">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c r="AO274" s="55"/>
      <c r="AP274" s="55"/>
      <c r="AQ274" s="55"/>
      <c r="AR274" s="55"/>
      <c r="AS274" s="55"/>
      <c r="AT274" s="55"/>
      <c r="AU274" s="55"/>
      <c r="AV274" s="55"/>
      <c r="AW274" s="55"/>
      <c r="AX274" s="55"/>
      <c r="AY274" s="55"/>
      <c r="AZ274" s="55"/>
      <c r="BA274" s="55"/>
      <c r="BB274" s="55"/>
      <c r="BC274" s="55"/>
      <c r="BD274" s="55"/>
    </row>
    <row r="275" spans="13:56" ht="14.25" customHeight="1">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c r="AO275" s="55"/>
      <c r="AP275" s="55"/>
      <c r="AQ275" s="55"/>
      <c r="AR275" s="55"/>
      <c r="AS275" s="55"/>
      <c r="AT275" s="55"/>
      <c r="AU275" s="55"/>
      <c r="AV275" s="55"/>
      <c r="AW275" s="55"/>
      <c r="AX275" s="55"/>
      <c r="AY275" s="55"/>
      <c r="AZ275" s="55"/>
      <c r="BA275" s="55"/>
      <c r="BB275" s="55"/>
      <c r="BC275" s="55"/>
      <c r="BD275" s="55"/>
    </row>
    <row r="276" spans="13:56" ht="14.25" customHeight="1">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row>
    <row r="277" spans="13:56" ht="14.25" customHeight="1">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c r="AP277" s="55"/>
      <c r="AQ277" s="55"/>
      <c r="AR277" s="55"/>
      <c r="AS277" s="55"/>
      <c r="AT277" s="55"/>
      <c r="AU277" s="55"/>
      <c r="AV277" s="55"/>
      <c r="AW277" s="55"/>
      <c r="AX277" s="55"/>
      <c r="AY277" s="55"/>
      <c r="AZ277" s="55"/>
      <c r="BA277" s="55"/>
      <c r="BB277" s="55"/>
      <c r="BC277" s="55"/>
      <c r="BD277" s="55"/>
    </row>
    <row r="278" spans="13:56" ht="14.25" customHeight="1">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c r="AP278" s="55"/>
      <c r="AQ278" s="55"/>
      <c r="AR278" s="55"/>
      <c r="AS278" s="55"/>
      <c r="AT278" s="55"/>
      <c r="AU278" s="55"/>
      <c r="AV278" s="55"/>
      <c r="AW278" s="55"/>
      <c r="AX278" s="55"/>
      <c r="AY278" s="55"/>
      <c r="AZ278" s="55"/>
      <c r="BA278" s="55"/>
      <c r="BB278" s="55"/>
      <c r="BC278" s="55"/>
      <c r="BD278" s="55"/>
    </row>
    <row r="279" spans="13:56" ht="14.25" customHeight="1">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c r="AP279" s="55"/>
      <c r="AQ279" s="55"/>
      <c r="AR279" s="55"/>
      <c r="AS279" s="55"/>
      <c r="AT279" s="55"/>
      <c r="AU279" s="55"/>
      <c r="AV279" s="55"/>
      <c r="AW279" s="55"/>
      <c r="AX279" s="55"/>
      <c r="AY279" s="55"/>
      <c r="AZ279" s="55"/>
      <c r="BA279" s="55"/>
      <c r="BB279" s="55"/>
      <c r="BC279" s="55"/>
      <c r="BD279" s="55"/>
    </row>
    <row r="280" spans="13:56" ht="14.25" customHeight="1">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c r="AP280" s="55"/>
      <c r="AQ280" s="55"/>
      <c r="AR280" s="55"/>
      <c r="AS280" s="55"/>
      <c r="AT280" s="55"/>
      <c r="AU280" s="55"/>
      <c r="AV280" s="55"/>
      <c r="AW280" s="55"/>
      <c r="AX280" s="55"/>
      <c r="AY280" s="55"/>
      <c r="AZ280" s="55"/>
      <c r="BA280" s="55"/>
      <c r="BB280" s="55"/>
      <c r="BC280" s="55"/>
      <c r="BD280" s="55"/>
    </row>
    <row r="281" spans="13:56" ht="14.25" customHeight="1">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5"/>
      <c r="AQ281" s="55"/>
      <c r="AR281" s="55"/>
      <c r="AS281" s="55"/>
      <c r="AT281" s="55"/>
      <c r="AU281" s="55"/>
      <c r="AV281" s="55"/>
      <c r="AW281" s="55"/>
      <c r="AX281" s="55"/>
      <c r="AY281" s="55"/>
      <c r="AZ281" s="55"/>
      <c r="BA281" s="55"/>
      <c r="BB281" s="55"/>
      <c r="BC281" s="55"/>
      <c r="BD281" s="55"/>
    </row>
    <row r="282" spans="13:56" ht="14.25" customHeight="1">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c r="AO282" s="55"/>
      <c r="AP282" s="55"/>
      <c r="AQ282" s="55"/>
      <c r="AR282" s="55"/>
      <c r="AS282" s="55"/>
      <c r="AT282" s="55"/>
      <c r="AU282" s="55"/>
      <c r="AV282" s="55"/>
      <c r="AW282" s="55"/>
      <c r="AX282" s="55"/>
      <c r="AY282" s="55"/>
      <c r="AZ282" s="55"/>
      <c r="BA282" s="55"/>
      <c r="BB282" s="55"/>
      <c r="BC282" s="55"/>
      <c r="BD282" s="55"/>
    </row>
    <row r="283" spans="13:56" ht="14.25" customHeight="1">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c r="AP283" s="55"/>
      <c r="AQ283" s="55"/>
      <c r="AR283" s="55"/>
      <c r="AS283" s="55"/>
      <c r="AT283" s="55"/>
      <c r="AU283" s="55"/>
      <c r="AV283" s="55"/>
      <c r="AW283" s="55"/>
      <c r="AX283" s="55"/>
      <c r="AY283" s="55"/>
      <c r="AZ283" s="55"/>
      <c r="BA283" s="55"/>
      <c r="BB283" s="55"/>
      <c r="BC283" s="55"/>
      <c r="BD283" s="55"/>
    </row>
    <row r="284" spans="13:56" ht="14.25" customHeight="1">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c r="AQ284" s="55"/>
      <c r="AR284" s="55"/>
      <c r="AS284" s="55"/>
      <c r="AT284" s="55"/>
      <c r="AU284" s="55"/>
      <c r="AV284" s="55"/>
      <c r="AW284" s="55"/>
      <c r="AX284" s="55"/>
      <c r="AY284" s="55"/>
      <c r="AZ284" s="55"/>
      <c r="BA284" s="55"/>
      <c r="BB284" s="55"/>
      <c r="BC284" s="55"/>
      <c r="BD284" s="55"/>
    </row>
    <row r="285" spans="13:56" ht="14.25" customHeight="1">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row>
    <row r="286" spans="13:56" ht="14.25" customHeight="1">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c r="AP286" s="55"/>
      <c r="AQ286" s="55"/>
      <c r="AR286" s="55"/>
      <c r="AS286" s="55"/>
      <c r="AT286" s="55"/>
      <c r="AU286" s="55"/>
      <c r="AV286" s="55"/>
      <c r="AW286" s="55"/>
      <c r="AX286" s="55"/>
      <c r="AY286" s="55"/>
      <c r="AZ286" s="55"/>
      <c r="BA286" s="55"/>
      <c r="BB286" s="55"/>
      <c r="BC286" s="55"/>
      <c r="BD286" s="55"/>
    </row>
    <row r="287" spans="13:56" ht="14.25" customHeight="1">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c r="AP287" s="55"/>
      <c r="AQ287" s="55"/>
      <c r="AR287" s="55"/>
      <c r="AS287" s="55"/>
      <c r="AT287" s="55"/>
      <c r="AU287" s="55"/>
      <c r="AV287" s="55"/>
      <c r="AW287" s="55"/>
      <c r="AX287" s="55"/>
      <c r="AY287" s="55"/>
      <c r="AZ287" s="55"/>
      <c r="BA287" s="55"/>
      <c r="BB287" s="55"/>
      <c r="BC287" s="55"/>
      <c r="BD287" s="55"/>
    </row>
    <row r="288" spans="13:56" ht="14.25" customHeight="1">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c r="AP288" s="55"/>
      <c r="AQ288" s="55"/>
      <c r="AR288" s="55"/>
      <c r="AS288" s="55"/>
      <c r="AT288" s="55"/>
      <c r="AU288" s="55"/>
      <c r="AV288" s="55"/>
      <c r="AW288" s="55"/>
      <c r="AX288" s="55"/>
      <c r="AY288" s="55"/>
      <c r="AZ288" s="55"/>
      <c r="BA288" s="55"/>
      <c r="BB288" s="55"/>
      <c r="BC288" s="55"/>
      <c r="BD288" s="55"/>
    </row>
    <row r="289" spans="13:83" ht="14.25" customHeight="1">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c r="AO289" s="55"/>
      <c r="AP289" s="55"/>
      <c r="AQ289" s="55"/>
      <c r="AR289" s="55"/>
      <c r="AS289" s="55"/>
      <c r="AT289" s="55"/>
      <c r="AU289" s="55"/>
      <c r="AV289" s="55"/>
      <c r="AW289" s="55"/>
      <c r="AX289" s="55"/>
      <c r="AY289" s="55"/>
      <c r="AZ289" s="55"/>
      <c r="BA289" s="55"/>
      <c r="BB289" s="55"/>
      <c r="BC289" s="55"/>
      <c r="BD289" s="55"/>
    </row>
    <row r="290" spans="13:83" ht="14.25" customHeight="1">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c r="AO290" s="55"/>
      <c r="AP290" s="55"/>
      <c r="AQ290" s="55"/>
      <c r="AR290" s="55"/>
      <c r="AS290" s="55"/>
      <c r="AT290" s="55"/>
      <c r="AU290" s="55"/>
      <c r="AV290" s="55"/>
      <c r="AW290" s="55"/>
      <c r="AX290" s="55"/>
      <c r="AY290" s="55"/>
      <c r="AZ290" s="55"/>
      <c r="BA290" s="55"/>
      <c r="BB290" s="55"/>
      <c r="BC290" s="55"/>
      <c r="BD290" s="55"/>
    </row>
    <row r="291" spans="13:83" ht="14.25" customHeight="1">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c r="AO291" s="55"/>
      <c r="AP291" s="55"/>
      <c r="AQ291" s="55"/>
      <c r="AR291" s="55"/>
      <c r="AS291" s="55"/>
      <c r="AT291" s="55"/>
      <c r="AU291" s="55"/>
      <c r="AV291" s="55"/>
      <c r="AW291" s="55"/>
      <c r="AX291" s="55"/>
      <c r="AY291" s="55"/>
      <c r="AZ291" s="55"/>
      <c r="BA291" s="55"/>
      <c r="BB291" s="55"/>
      <c r="BC291" s="55"/>
      <c r="BD291" s="55"/>
    </row>
    <row r="292" spans="13:83" ht="14.25" customHeight="1">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c r="AP292" s="55"/>
      <c r="AQ292" s="55"/>
      <c r="AR292" s="55"/>
      <c r="AS292" s="55"/>
      <c r="AT292" s="55"/>
      <c r="AU292" s="55"/>
      <c r="AV292" s="55"/>
      <c r="AW292" s="55"/>
      <c r="AX292" s="55"/>
      <c r="AY292" s="55"/>
      <c r="AZ292" s="55"/>
      <c r="BA292" s="55"/>
      <c r="BB292" s="55"/>
      <c r="BC292" s="55"/>
      <c r="BD292" s="55"/>
    </row>
    <row r="293" spans="13:83" ht="14.25" customHeight="1">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c r="AO293" s="55"/>
      <c r="AP293" s="55"/>
      <c r="AQ293" s="55"/>
      <c r="AR293" s="55"/>
      <c r="AS293" s="55"/>
      <c r="AT293" s="55"/>
      <c r="AU293" s="55"/>
      <c r="AV293" s="55"/>
      <c r="AW293" s="55"/>
      <c r="AX293" s="55"/>
      <c r="AY293" s="55"/>
      <c r="AZ293" s="55"/>
      <c r="BA293" s="55"/>
      <c r="BB293" s="55"/>
      <c r="BC293" s="55"/>
      <c r="BD293" s="55"/>
    </row>
    <row r="294" spans="13:83" ht="14.25" customHeight="1">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row>
    <row r="295" spans="13:83" ht="14.25" customHeight="1">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c r="AZ295" s="55"/>
      <c r="BA295" s="55"/>
      <c r="BB295" s="55"/>
      <c r="BC295" s="55"/>
      <c r="BD295" s="55"/>
    </row>
    <row r="296" spans="13:83" ht="14.25" customHeight="1">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row>
    <row r="297" spans="13:83" ht="14.25" customHeight="1">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c r="AO297" s="55"/>
      <c r="AP297" s="55"/>
      <c r="AQ297" s="55"/>
      <c r="AR297" s="55"/>
      <c r="AS297" s="55"/>
      <c r="AT297" s="55"/>
      <c r="AU297" s="55"/>
      <c r="AV297" s="55"/>
      <c r="AW297" s="55"/>
      <c r="AX297" s="55"/>
      <c r="AY297" s="55"/>
      <c r="AZ297" s="55"/>
      <c r="BA297" s="55"/>
      <c r="BB297" s="55"/>
      <c r="BC297" s="55"/>
      <c r="BD297" s="55"/>
    </row>
    <row r="298" spans="13:83" ht="14.25" customHeight="1">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c r="AO298" s="55"/>
      <c r="AP298" s="55"/>
      <c r="AQ298" s="55"/>
      <c r="AR298" s="55"/>
      <c r="AS298" s="55"/>
      <c r="AT298" s="55"/>
      <c r="AU298" s="55"/>
      <c r="AV298" s="55"/>
      <c r="AW298" s="55"/>
      <c r="AX298" s="55"/>
      <c r="AY298" s="55"/>
      <c r="AZ298" s="55"/>
      <c r="BA298" s="55"/>
      <c r="BB298" s="55"/>
      <c r="BC298" s="55"/>
      <c r="BD298" s="55"/>
    </row>
    <row r="299" spans="13:83" ht="14.25" customHeight="1">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c r="AO299" s="55"/>
      <c r="AP299" s="55"/>
      <c r="AQ299" s="55"/>
      <c r="AR299" s="55"/>
      <c r="AS299" s="55"/>
      <c r="AT299" s="55"/>
      <c r="AU299" s="55"/>
      <c r="AV299" s="55"/>
      <c r="AW299" s="55"/>
      <c r="AX299" s="55"/>
      <c r="AY299" s="55"/>
      <c r="AZ299" s="55"/>
      <c r="BA299" s="55"/>
      <c r="BB299" s="55"/>
      <c r="BC299" s="55"/>
      <c r="BD299" s="55"/>
    </row>
    <row r="300" spans="13:83" ht="14.25" customHeight="1">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c r="AO300" s="55"/>
      <c r="AP300" s="55"/>
      <c r="AQ300" s="55"/>
      <c r="AR300" s="55"/>
      <c r="AS300" s="55"/>
      <c r="AT300" s="55"/>
      <c r="AU300" s="55"/>
      <c r="AV300" s="55"/>
      <c r="AW300" s="55"/>
      <c r="AX300" s="55"/>
      <c r="AY300" s="55"/>
      <c r="AZ300" s="55"/>
      <c r="BA300" s="55"/>
      <c r="BB300" s="55"/>
      <c r="BC300" s="55"/>
      <c r="BD300" s="55"/>
    </row>
    <row r="301" spans="13:83" ht="14.25" customHeight="1">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c r="AO301" s="55"/>
      <c r="AP301" s="55"/>
      <c r="AQ301" s="55"/>
      <c r="AR301" s="55"/>
      <c r="AS301" s="55"/>
      <c r="AT301" s="55"/>
      <c r="AU301" s="55"/>
      <c r="AV301" s="55"/>
      <c r="AW301" s="55"/>
      <c r="AX301" s="55"/>
      <c r="AY301" s="55"/>
      <c r="AZ301" s="55"/>
      <c r="BA301" s="55"/>
      <c r="BB301" s="55"/>
      <c r="BC301" s="55"/>
      <c r="BD301" s="55"/>
    </row>
    <row r="302" spans="13:83" ht="14.25" customHeight="1">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c r="AP302" s="55"/>
      <c r="AQ302" s="55"/>
      <c r="AR302" s="55"/>
      <c r="AS302" s="55"/>
      <c r="AT302" s="55"/>
      <c r="AU302" s="55"/>
      <c r="AV302" s="55"/>
      <c r="AW302" s="55"/>
      <c r="AX302" s="55"/>
      <c r="AY302" s="55"/>
      <c r="AZ302" s="55"/>
      <c r="BA302" s="55"/>
      <c r="BB302" s="55"/>
      <c r="BC302" s="55"/>
      <c r="BD302" s="55"/>
    </row>
    <row r="303" spans="13:83" ht="14.25" customHeight="1">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c r="AO303" s="55"/>
      <c r="AP303" s="55"/>
      <c r="AQ303" s="55"/>
      <c r="AR303" s="55"/>
      <c r="AS303" s="55"/>
      <c r="AT303" s="55"/>
      <c r="AU303" s="55"/>
      <c r="AV303" s="55"/>
      <c r="AW303" s="55"/>
      <c r="AX303" s="55"/>
      <c r="AY303" s="55"/>
      <c r="AZ303" s="55"/>
      <c r="BA303" s="55"/>
      <c r="BB303" s="55"/>
      <c r="BC303" s="55"/>
      <c r="BD303" s="55"/>
    </row>
    <row r="304" spans="13:83" ht="14.25" customHeight="1">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c r="AO304" s="55"/>
      <c r="AP304" s="55"/>
      <c r="AQ304" s="55"/>
      <c r="AR304" s="55"/>
      <c r="AS304" s="55"/>
      <c r="AT304" s="55"/>
      <c r="AU304" s="55"/>
      <c r="AV304" s="55"/>
      <c r="AW304" s="55"/>
      <c r="AX304" s="55"/>
      <c r="AY304" s="55"/>
      <c r="AZ304" s="55"/>
      <c r="BA304" s="55"/>
      <c r="BB304" s="55"/>
      <c r="BC304" s="55"/>
      <c r="BD304" s="55"/>
      <c r="CD304" s="112" t="s">
        <v>198</v>
      </c>
      <c r="CE304" s="112" t="s">
        <v>199</v>
      </c>
    </row>
    <row r="305" spans="13:84" ht="14.25" customHeight="1">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c r="AO305" s="55"/>
      <c r="AP305" s="55"/>
      <c r="AQ305" s="55"/>
      <c r="AR305" s="55"/>
      <c r="AS305" s="55"/>
      <c r="AT305" s="55"/>
      <c r="AU305" s="55"/>
      <c r="AV305" s="55"/>
      <c r="AW305" s="55"/>
      <c r="AX305" s="55"/>
      <c r="AY305" s="55"/>
      <c r="AZ305" s="55"/>
      <c r="BA305" s="55"/>
      <c r="BB305" s="55"/>
      <c r="BC305" s="55"/>
      <c r="BD305" s="55"/>
      <c r="CF305"/>
    </row>
    <row r="306" spans="13:84" ht="14.25" customHeight="1">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c r="AO306" s="55"/>
      <c r="AP306" s="55"/>
      <c r="AQ306" s="55"/>
      <c r="AR306" s="55"/>
      <c r="AS306" s="55"/>
      <c r="AT306" s="55"/>
      <c r="AU306" s="55"/>
      <c r="AV306" s="55"/>
      <c r="AW306" s="55"/>
      <c r="AX306" s="55"/>
      <c r="AY306" s="55"/>
      <c r="AZ306" s="55"/>
      <c r="BA306" s="55"/>
      <c r="BB306" s="55"/>
      <c r="BC306" s="55"/>
      <c r="BD306" s="55"/>
    </row>
    <row r="307" spans="13:84" ht="14.25" customHeight="1">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c r="AO307" s="55"/>
      <c r="AP307" s="55"/>
      <c r="AQ307" s="55"/>
      <c r="AR307" s="55"/>
      <c r="AS307" s="55"/>
      <c r="AT307" s="55"/>
      <c r="AU307" s="55"/>
      <c r="AV307" s="55"/>
      <c r="AW307" s="55"/>
      <c r="AX307" s="55"/>
      <c r="AY307" s="55"/>
      <c r="AZ307" s="55"/>
      <c r="BA307" s="55"/>
      <c r="BB307" s="55"/>
      <c r="BC307" s="55"/>
      <c r="BD307" s="55"/>
    </row>
    <row r="308" spans="13:84" ht="14.25" customHeight="1">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c r="AQ308" s="55"/>
      <c r="AR308" s="55"/>
      <c r="AS308" s="55"/>
      <c r="AT308" s="55"/>
      <c r="AU308" s="55"/>
      <c r="AV308" s="55"/>
      <c r="AW308" s="55"/>
      <c r="AX308" s="55"/>
      <c r="AY308" s="55"/>
      <c r="AZ308" s="55"/>
      <c r="BA308" s="55"/>
      <c r="BB308" s="55"/>
      <c r="BC308" s="55"/>
      <c r="BD308" s="55"/>
    </row>
    <row r="309" spans="13:84" ht="14.25" customHeight="1">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c r="AL309" s="55"/>
      <c r="AM309" s="55"/>
      <c r="AN309" s="55"/>
      <c r="AO309" s="55"/>
      <c r="AP309" s="55"/>
      <c r="AQ309" s="55"/>
      <c r="AR309" s="55"/>
      <c r="AS309" s="55"/>
      <c r="AT309" s="55"/>
      <c r="AU309" s="55"/>
      <c r="AV309" s="55"/>
      <c r="AW309" s="55"/>
      <c r="AX309" s="55"/>
      <c r="AY309" s="55"/>
      <c r="AZ309" s="55"/>
      <c r="BA309" s="55"/>
      <c r="BB309" s="55"/>
      <c r="BC309" s="55"/>
      <c r="BD309" s="55"/>
    </row>
    <row r="310" spans="13:84" ht="14.25" customHeight="1">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c r="AO310" s="55"/>
      <c r="AP310" s="55"/>
      <c r="AQ310" s="55"/>
      <c r="AR310" s="55"/>
      <c r="AS310" s="55"/>
      <c r="AT310" s="55"/>
      <c r="AU310" s="55"/>
      <c r="AV310" s="55"/>
      <c r="AW310" s="55"/>
      <c r="AX310" s="55"/>
      <c r="AY310" s="55"/>
      <c r="AZ310" s="55"/>
      <c r="BA310" s="55"/>
      <c r="BB310" s="55"/>
      <c r="BC310" s="55"/>
      <c r="BD310" s="55"/>
    </row>
    <row r="311" spans="13:84" ht="14.25" customHeight="1">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c r="AO311" s="55"/>
      <c r="AP311" s="55"/>
      <c r="AQ311" s="55"/>
      <c r="AR311" s="55"/>
      <c r="AS311" s="55"/>
      <c r="AT311" s="55"/>
      <c r="AU311" s="55"/>
      <c r="AV311" s="55"/>
      <c r="AW311" s="55"/>
      <c r="AX311" s="55"/>
      <c r="AY311" s="55"/>
      <c r="AZ311" s="55"/>
      <c r="BA311" s="55"/>
      <c r="BB311" s="55"/>
      <c r="BC311" s="55"/>
      <c r="BD311" s="55"/>
    </row>
    <row r="312" spans="13:84" ht="14.25" customHeight="1">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c r="AZ312" s="55"/>
      <c r="BA312" s="55"/>
      <c r="BB312" s="55"/>
      <c r="BC312" s="55"/>
      <c r="BD312" s="55"/>
    </row>
    <row r="313" spans="13:84" ht="14.25" customHeight="1">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c r="AO313" s="55"/>
      <c r="AP313" s="55"/>
      <c r="AQ313" s="55"/>
      <c r="AR313" s="55"/>
      <c r="AS313" s="55"/>
      <c r="AT313" s="55"/>
      <c r="AU313" s="55"/>
      <c r="AV313" s="55"/>
      <c r="AW313" s="55"/>
      <c r="AX313" s="55"/>
      <c r="AY313" s="55"/>
      <c r="AZ313" s="55"/>
      <c r="BA313" s="55"/>
      <c r="BB313" s="55"/>
      <c r="BC313" s="55"/>
      <c r="BD313" s="55"/>
    </row>
    <row r="314" spans="13:84" ht="14.25" customHeight="1">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c r="AO314" s="55"/>
      <c r="AP314" s="55"/>
      <c r="AQ314" s="55"/>
      <c r="AR314" s="55"/>
      <c r="AS314" s="55"/>
      <c r="AT314" s="55"/>
      <c r="AU314" s="55"/>
      <c r="AV314" s="55"/>
      <c r="AW314" s="55"/>
      <c r="AX314" s="55"/>
      <c r="AY314" s="55"/>
      <c r="AZ314" s="55"/>
      <c r="BA314" s="55"/>
      <c r="BB314" s="55"/>
      <c r="BC314" s="55"/>
      <c r="BD314" s="55"/>
    </row>
    <row r="315" spans="13:84" ht="14.25" customHeight="1">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c r="AO315" s="55"/>
      <c r="AP315" s="55"/>
      <c r="AQ315" s="55"/>
      <c r="AR315" s="55"/>
      <c r="AS315" s="55"/>
      <c r="AT315" s="55"/>
      <c r="AU315" s="55"/>
      <c r="AV315" s="55"/>
      <c r="AW315" s="55"/>
      <c r="AX315" s="55"/>
      <c r="AY315" s="55"/>
      <c r="AZ315" s="55"/>
      <c r="BA315" s="55"/>
      <c r="BB315" s="55"/>
      <c r="BC315" s="55"/>
      <c r="BD315" s="55"/>
    </row>
    <row r="316" spans="13:84" ht="14.25" customHeight="1">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c r="AO316" s="55"/>
      <c r="AP316" s="55"/>
      <c r="AQ316" s="55"/>
      <c r="AR316" s="55"/>
      <c r="AS316" s="55"/>
      <c r="AT316" s="55"/>
      <c r="AU316" s="55"/>
      <c r="AV316" s="55"/>
      <c r="AW316" s="55"/>
      <c r="AX316" s="55"/>
      <c r="AY316" s="55"/>
      <c r="AZ316" s="55"/>
      <c r="BA316" s="55"/>
      <c r="BB316" s="55"/>
      <c r="BC316" s="55"/>
      <c r="BD316" s="55"/>
    </row>
    <row r="317" spans="13:84" ht="14.25" customHeight="1">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c r="AL317" s="55"/>
      <c r="AM317" s="55"/>
      <c r="AN317" s="55"/>
      <c r="AO317" s="55"/>
      <c r="AP317" s="55"/>
      <c r="AQ317" s="55"/>
      <c r="AR317" s="55"/>
      <c r="AS317" s="55"/>
      <c r="AT317" s="55"/>
      <c r="AU317" s="55"/>
      <c r="AV317" s="55"/>
      <c r="AW317" s="55"/>
      <c r="AX317" s="55"/>
      <c r="AY317" s="55"/>
      <c r="AZ317" s="55"/>
      <c r="BA317" s="55"/>
      <c r="BB317" s="55"/>
      <c r="BC317" s="55"/>
      <c r="BD317" s="55"/>
    </row>
    <row r="318" spans="13:84" ht="14.25" customHeight="1">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c r="AO318" s="55"/>
      <c r="AP318" s="55"/>
      <c r="AQ318" s="55"/>
      <c r="AR318" s="55"/>
      <c r="AS318" s="55"/>
      <c r="AT318" s="55"/>
      <c r="AU318" s="55"/>
      <c r="AV318" s="55"/>
      <c r="AW318" s="55"/>
      <c r="AX318" s="55"/>
      <c r="AY318" s="55"/>
      <c r="AZ318" s="55"/>
      <c r="BA318" s="55"/>
      <c r="BB318" s="55"/>
      <c r="BC318" s="55"/>
      <c r="BD318" s="55"/>
    </row>
    <row r="319" spans="13:84" ht="14.25" customHeight="1">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c r="AO319" s="55"/>
      <c r="AP319" s="55"/>
      <c r="AQ319" s="55"/>
      <c r="AR319" s="55"/>
      <c r="AS319" s="55"/>
      <c r="AT319" s="55"/>
      <c r="AU319" s="55"/>
      <c r="AV319" s="55"/>
      <c r="AW319" s="55"/>
      <c r="AX319" s="55"/>
      <c r="AY319" s="55"/>
      <c r="AZ319" s="55"/>
      <c r="BA319" s="55"/>
      <c r="BB319" s="55"/>
      <c r="BC319" s="55"/>
      <c r="BD319" s="55"/>
    </row>
    <row r="320" spans="13:84" ht="14.25" customHeight="1">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c r="AL320" s="55"/>
      <c r="AM320" s="55"/>
      <c r="AN320" s="55"/>
      <c r="AO320" s="55"/>
      <c r="AP320" s="55"/>
      <c r="AQ320" s="55"/>
      <c r="AR320" s="55"/>
      <c r="AS320" s="55"/>
      <c r="AT320" s="55"/>
      <c r="AU320" s="55"/>
      <c r="AV320" s="55"/>
      <c r="AW320" s="55"/>
      <c r="AX320" s="55"/>
      <c r="AY320" s="55"/>
      <c r="AZ320" s="55"/>
      <c r="BA320" s="55"/>
      <c r="BB320" s="55"/>
      <c r="BC320" s="55"/>
      <c r="BD320" s="55"/>
    </row>
    <row r="321" spans="13:56" ht="14.25" customHeight="1">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c r="AL321" s="55"/>
      <c r="AM321" s="55"/>
      <c r="AN321" s="55"/>
      <c r="AO321" s="55"/>
      <c r="AP321" s="55"/>
      <c r="AQ321" s="55"/>
      <c r="AR321" s="55"/>
      <c r="AS321" s="55"/>
      <c r="AT321" s="55"/>
      <c r="AU321" s="55"/>
      <c r="AV321" s="55"/>
      <c r="AW321" s="55"/>
      <c r="AX321" s="55"/>
      <c r="AY321" s="55"/>
      <c r="AZ321" s="55"/>
      <c r="BA321" s="55"/>
      <c r="BB321" s="55"/>
      <c r="BC321" s="55"/>
      <c r="BD321" s="55"/>
    </row>
    <row r="322" spans="13:56" ht="14.25" customHeight="1">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c r="AO322" s="55"/>
      <c r="AP322" s="55"/>
      <c r="AQ322" s="55"/>
      <c r="AR322" s="55"/>
      <c r="AS322" s="55"/>
      <c r="AT322" s="55"/>
      <c r="AU322" s="55"/>
      <c r="AV322" s="55"/>
      <c r="AW322" s="55"/>
      <c r="AX322" s="55"/>
      <c r="AY322" s="55"/>
      <c r="AZ322" s="55"/>
      <c r="BA322" s="55"/>
      <c r="BB322" s="55"/>
      <c r="BC322" s="55"/>
      <c r="BD322" s="55"/>
    </row>
    <row r="323" spans="13:56" ht="14.25" customHeight="1">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c r="AO323" s="55"/>
      <c r="AP323" s="55"/>
      <c r="AQ323" s="55"/>
      <c r="AR323" s="55"/>
      <c r="AS323" s="55"/>
      <c r="AT323" s="55"/>
      <c r="AU323" s="55"/>
      <c r="AV323" s="55"/>
      <c r="AW323" s="55"/>
      <c r="AX323" s="55"/>
      <c r="AY323" s="55"/>
      <c r="AZ323" s="55"/>
      <c r="BA323" s="55"/>
      <c r="BB323" s="55"/>
      <c r="BC323" s="55"/>
      <c r="BD323" s="55"/>
    </row>
    <row r="324" spans="13:56" ht="14.25" customHeight="1">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c r="AO324" s="55"/>
      <c r="AP324" s="55"/>
      <c r="AQ324" s="55"/>
      <c r="AR324" s="55"/>
      <c r="AS324" s="55"/>
      <c r="AT324" s="55"/>
      <c r="AU324" s="55"/>
      <c r="AV324" s="55"/>
      <c r="AW324" s="55"/>
      <c r="AX324" s="55"/>
      <c r="AY324" s="55"/>
      <c r="AZ324" s="55"/>
      <c r="BA324" s="55"/>
      <c r="BB324" s="55"/>
      <c r="BC324" s="55"/>
      <c r="BD324" s="55"/>
    </row>
    <row r="325" spans="13:56" ht="14.25" customHeight="1">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c r="AO325" s="55"/>
      <c r="AP325" s="55"/>
      <c r="AQ325" s="55"/>
      <c r="AR325" s="55"/>
      <c r="AS325" s="55"/>
      <c r="AT325" s="55"/>
      <c r="AU325" s="55"/>
      <c r="AV325" s="55"/>
      <c r="AW325" s="55"/>
      <c r="AX325" s="55"/>
      <c r="AY325" s="55"/>
      <c r="AZ325" s="55"/>
      <c r="BA325" s="55"/>
      <c r="BB325" s="55"/>
      <c r="BC325" s="55"/>
      <c r="BD325" s="55"/>
    </row>
    <row r="326" spans="13:56" ht="14.25" customHeight="1">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c r="AO326" s="55"/>
      <c r="AP326" s="55"/>
      <c r="AQ326" s="55"/>
      <c r="AR326" s="55"/>
      <c r="AS326" s="55"/>
      <c r="AT326" s="55"/>
      <c r="AU326" s="55"/>
      <c r="AV326" s="55"/>
      <c r="AW326" s="55"/>
      <c r="AX326" s="55"/>
      <c r="AY326" s="55"/>
      <c r="AZ326" s="55"/>
      <c r="BA326" s="55"/>
      <c r="BB326" s="55"/>
      <c r="BC326" s="55"/>
      <c r="BD326" s="55"/>
    </row>
    <row r="327" spans="13:56" ht="14.25" customHeight="1">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c r="AL327" s="55"/>
      <c r="AM327" s="55"/>
      <c r="AN327" s="55"/>
      <c r="AO327" s="55"/>
      <c r="AP327" s="55"/>
      <c r="AQ327" s="55"/>
      <c r="AR327" s="55"/>
      <c r="AS327" s="55"/>
      <c r="AT327" s="55"/>
      <c r="AU327" s="55"/>
      <c r="AV327" s="55"/>
      <c r="AW327" s="55"/>
      <c r="AX327" s="55"/>
      <c r="AY327" s="55"/>
      <c r="AZ327" s="55"/>
      <c r="BA327" s="55"/>
      <c r="BB327" s="55"/>
      <c r="BC327" s="55"/>
      <c r="BD327" s="55"/>
    </row>
    <row r="328" spans="13:56" ht="14.25" customHeight="1">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c r="AO328" s="55"/>
      <c r="AP328" s="55"/>
      <c r="AQ328" s="55"/>
      <c r="AR328" s="55"/>
      <c r="AS328" s="55"/>
      <c r="AT328" s="55"/>
      <c r="AU328" s="55"/>
      <c r="AV328" s="55"/>
      <c r="AW328" s="55"/>
      <c r="AX328" s="55"/>
      <c r="AY328" s="55"/>
      <c r="AZ328" s="55"/>
      <c r="BA328" s="55"/>
      <c r="BB328" s="55"/>
      <c r="BC328" s="55"/>
      <c r="BD328" s="55"/>
    </row>
    <row r="329" spans="13:56" ht="14.25" customHeight="1">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c r="AP329" s="55"/>
      <c r="AQ329" s="55"/>
      <c r="AR329" s="55"/>
      <c r="AS329" s="55"/>
      <c r="AT329" s="55"/>
      <c r="AU329" s="55"/>
      <c r="AV329" s="55"/>
      <c r="AW329" s="55"/>
      <c r="AX329" s="55"/>
      <c r="AY329" s="55"/>
      <c r="AZ329" s="55"/>
      <c r="BA329" s="55"/>
      <c r="BB329" s="55"/>
      <c r="BC329" s="55"/>
      <c r="BD329" s="55"/>
    </row>
    <row r="330" spans="13:56" ht="14.25" customHeight="1">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c r="AO330" s="55"/>
      <c r="AP330" s="55"/>
      <c r="AQ330" s="55"/>
      <c r="AR330" s="55"/>
      <c r="AS330" s="55"/>
      <c r="AT330" s="55"/>
      <c r="AU330" s="55"/>
      <c r="AV330" s="55"/>
      <c r="AW330" s="55"/>
      <c r="AX330" s="55"/>
      <c r="AY330" s="55"/>
      <c r="AZ330" s="55"/>
      <c r="BA330" s="55"/>
      <c r="BB330" s="55"/>
      <c r="BC330" s="55"/>
      <c r="BD330" s="55"/>
    </row>
    <row r="331" spans="13:56" ht="14.25" customHeight="1">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c r="AO331" s="55"/>
      <c r="AP331" s="55"/>
      <c r="AQ331" s="55"/>
      <c r="AR331" s="55"/>
      <c r="AS331" s="55"/>
      <c r="AT331" s="55"/>
      <c r="AU331" s="55"/>
      <c r="AV331" s="55"/>
      <c r="AW331" s="55"/>
      <c r="AX331" s="55"/>
      <c r="AY331" s="55"/>
      <c r="AZ331" s="55"/>
      <c r="BA331" s="55"/>
      <c r="BB331" s="55"/>
      <c r="BC331" s="55"/>
      <c r="BD331" s="55"/>
    </row>
    <row r="332" spans="13:56" ht="14.25" customHeight="1">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c r="AQ332" s="55"/>
      <c r="AR332" s="55"/>
      <c r="AS332" s="55"/>
      <c r="AT332" s="55"/>
      <c r="AU332" s="55"/>
      <c r="AV332" s="55"/>
      <c r="AW332" s="55"/>
      <c r="AX332" s="55"/>
      <c r="AY332" s="55"/>
      <c r="AZ332" s="55"/>
      <c r="BA332" s="55"/>
      <c r="BB332" s="55"/>
      <c r="BC332" s="55"/>
      <c r="BD332" s="55"/>
    </row>
    <row r="333" spans="13:56" ht="14.25" customHeight="1">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c r="AQ333" s="55"/>
      <c r="AR333" s="55"/>
      <c r="AS333" s="55"/>
      <c r="AT333" s="55"/>
      <c r="AU333" s="55"/>
      <c r="AV333" s="55"/>
      <c r="AW333" s="55"/>
      <c r="AX333" s="55"/>
      <c r="AY333" s="55"/>
      <c r="AZ333" s="55"/>
      <c r="BA333" s="55"/>
      <c r="BB333" s="55"/>
      <c r="BC333" s="55"/>
      <c r="BD333" s="55"/>
    </row>
    <row r="334" spans="13:56" ht="14.25" customHeight="1">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c r="AQ334" s="55"/>
      <c r="AR334" s="55"/>
      <c r="AS334" s="55"/>
      <c r="AT334" s="55"/>
      <c r="AU334" s="55"/>
      <c r="AV334" s="55"/>
      <c r="AW334" s="55"/>
      <c r="AX334" s="55"/>
      <c r="AY334" s="55"/>
      <c r="AZ334" s="55"/>
      <c r="BA334" s="55"/>
      <c r="BB334" s="55"/>
      <c r="BC334" s="55"/>
      <c r="BD334" s="55"/>
    </row>
    <row r="335" spans="13:56" ht="14.25" customHeight="1">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c r="AQ335" s="55"/>
      <c r="AR335" s="55"/>
      <c r="AS335" s="55"/>
      <c r="AT335" s="55"/>
      <c r="AU335" s="55"/>
      <c r="AV335" s="55"/>
      <c r="AW335" s="55"/>
      <c r="AX335" s="55"/>
      <c r="AY335" s="55"/>
      <c r="AZ335" s="55"/>
      <c r="BA335" s="55"/>
      <c r="BB335" s="55"/>
      <c r="BC335" s="55"/>
      <c r="BD335" s="55"/>
    </row>
    <row r="336" spans="13:56" ht="14.25" customHeight="1">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c r="AO336" s="55"/>
      <c r="AP336" s="55"/>
      <c r="AQ336" s="55"/>
      <c r="AR336" s="55"/>
      <c r="AS336" s="55"/>
      <c r="AT336" s="55"/>
      <c r="AU336" s="55"/>
      <c r="AV336" s="55"/>
      <c r="AW336" s="55"/>
      <c r="AX336" s="55"/>
      <c r="AY336" s="55"/>
      <c r="AZ336" s="55"/>
      <c r="BA336" s="55"/>
      <c r="BB336" s="55"/>
      <c r="BC336" s="55"/>
      <c r="BD336" s="55"/>
    </row>
    <row r="337" spans="13:56" ht="14.25" customHeight="1">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c r="AQ337" s="55"/>
      <c r="AR337" s="55"/>
      <c r="AS337" s="55"/>
      <c r="AT337" s="55"/>
      <c r="AU337" s="55"/>
      <c r="AV337" s="55"/>
      <c r="AW337" s="55"/>
      <c r="AX337" s="55"/>
      <c r="AY337" s="55"/>
      <c r="AZ337" s="55"/>
      <c r="BA337" s="55"/>
      <c r="BB337" s="55"/>
      <c r="BC337" s="55"/>
      <c r="BD337" s="55"/>
    </row>
    <row r="338" spans="13:56" ht="14.25" customHeight="1">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c r="AO338" s="55"/>
      <c r="AP338" s="55"/>
      <c r="AQ338" s="55"/>
      <c r="AR338" s="55"/>
      <c r="AS338" s="55"/>
      <c r="AT338" s="55"/>
      <c r="AU338" s="55"/>
      <c r="AV338" s="55"/>
      <c r="AW338" s="55"/>
      <c r="AX338" s="55"/>
      <c r="AY338" s="55"/>
      <c r="AZ338" s="55"/>
      <c r="BA338" s="55"/>
      <c r="BB338" s="55"/>
      <c r="BC338" s="55"/>
      <c r="BD338" s="55"/>
    </row>
    <row r="339" spans="13:56" ht="14.25" customHeight="1">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c r="AQ339" s="55"/>
      <c r="AR339" s="55"/>
      <c r="AS339" s="55"/>
      <c r="AT339" s="55"/>
      <c r="AU339" s="55"/>
      <c r="AV339" s="55"/>
      <c r="AW339" s="55"/>
      <c r="AX339" s="55"/>
      <c r="AY339" s="55"/>
      <c r="AZ339" s="55"/>
      <c r="BA339" s="55"/>
      <c r="BB339" s="55"/>
      <c r="BC339" s="55"/>
      <c r="BD339" s="55"/>
    </row>
    <row r="340" spans="13:56" ht="14.25" customHeight="1">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c r="AO340" s="55"/>
      <c r="AP340" s="55"/>
      <c r="AQ340" s="55"/>
      <c r="AR340" s="55"/>
      <c r="AS340" s="55"/>
      <c r="AT340" s="55"/>
      <c r="AU340" s="55"/>
      <c r="AV340" s="55"/>
      <c r="AW340" s="55"/>
      <c r="AX340" s="55"/>
      <c r="AY340" s="55"/>
      <c r="AZ340" s="55"/>
      <c r="BA340" s="55"/>
      <c r="BB340" s="55"/>
      <c r="BC340" s="55"/>
      <c r="BD340" s="55"/>
    </row>
    <row r="341" spans="13:56" ht="14.25" customHeight="1">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c r="AQ341" s="55"/>
      <c r="AR341" s="55"/>
      <c r="AS341" s="55"/>
      <c r="AT341" s="55"/>
      <c r="AU341" s="55"/>
      <c r="AV341" s="55"/>
      <c r="AW341" s="55"/>
      <c r="AX341" s="55"/>
      <c r="AY341" s="55"/>
      <c r="AZ341" s="55"/>
      <c r="BA341" s="55"/>
      <c r="BB341" s="55"/>
      <c r="BC341" s="55"/>
      <c r="BD341" s="55"/>
    </row>
    <row r="342" spans="13:56" ht="14.25" customHeight="1">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c r="AQ342" s="55"/>
      <c r="AR342" s="55"/>
      <c r="AS342" s="55"/>
      <c r="AT342" s="55"/>
      <c r="AU342" s="55"/>
      <c r="AV342" s="55"/>
      <c r="AW342" s="55"/>
      <c r="AX342" s="55"/>
      <c r="AY342" s="55"/>
      <c r="AZ342" s="55"/>
      <c r="BA342" s="55"/>
      <c r="BB342" s="55"/>
      <c r="BC342" s="55"/>
      <c r="BD342" s="55"/>
    </row>
    <row r="343" spans="13:56" ht="14.25" customHeight="1">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c r="AQ343" s="55"/>
      <c r="AR343" s="55"/>
      <c r="AS343" s="55"/>
      <c r="AT343" s="55"/>
      <c r="AU343" s="55"/>
      <c r="AV343" s="55"/>
      <c r="AW343" s="55"/>
      <c r="AX343" s="55"/>
      <c r="AY343" s="55"/>
      <c r="AZ343" s="55"/>
      <c r="BA343" s="55"/>
      <c r="BB343" s="55"/>
      <c r="BC343" s="55"/>
      <c r="BD343" s="55"/>
    </row>
    <row r="344" spans="13:56" ht="14.25" customHeight="1">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c r="AO344" s="55"/>
      <c r="AP344" s="55"/>
      <c r="AQ344" s="55"/>
      <c r="AR344" s="55"/>
      <c r="AS344" s="55"/>
      <c r="AT344" s="55"/>
      <c r="AU344" s="55"/>
      <c r="AV344" s="55"/>
      <c r="AW344" s="55"/>
      <c r="AX344" s="55"/>
      <c r="AY344" s="55"/>
      <c r="AZ344" s="55"/>
      <c r="BA344" s="55"/>
      <c r="BB344" s="55"/>
      <c r="BC344" s="55"/>
      <c r="BD344" s="55"/>
    </row>
    <row r="345" spans="13:56" ht="14.25" customHeight="1">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c r="AO345" s="55"/>
      <c r="AP345" s="55"/>
      <c r="AQ345" s="55"/>
      <c r="AR345" s="55"/>
      <c r="AS345" s="55"/>
      <c r="AT345" s="55"/>
      <c r="AU345" s="55"/>
      <c r="AV345" s="55"/>
      <c r="AW345" s="55"/>
      <c r="AX345" s="55"/>
      <c r="AY345" s="55"/>
      <c r="AZ345" s="55"/>
      <c r="BA345" s="55"/>
      <c r="BB345" s="55"/>
      <c r="BC345" s="55"/>
      <c r="BD345" s="55"/>
    </row>
    <row r="346" spans="13:56" ht="14.25" customHeight="1">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c r="AQ346" s="55"/>
      <c r="AR346" s="55"/>
      <c r="AS346" s="55"/>
      <c r="AT346" s="55"/>
      <c r="AU346" s="55"/>
      <c r="AV346" s="55"/>
      <c r="AW346" s="55"/>
      <c r="AX346" s="55"/>
      <c r="AY346" s="55"/>
      <c r="AZ346" s="55"/>
      <c r="BA346" s="55"/>
      <c r="BB346" s="55"/>
      <c r="BC346" s="55"/>
      <c r="BD346" s="55"/>
    </row>
    <row r="347" spans="13:56" ht="14.25" customHeight="1">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row>
    <row r="348" spans="13:56" ht="14.25" customHeight="1">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c r="AZ348" s="55"/>
      <c r="BA348" s="55"/>
      <c r="BB348" s="55"/>
      <c r="BC348" s="55"/>
      <c r="BD348" s="55"/>
    </row>
    <row r="349" spans="13:56" ht="14.25" customHeight="1">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c r="AL349" s="55"/>
      <c r="AM349" s="55"/>
      <c r="AN349" s="55"/>
      <c r="AO349" s="55"/>
      <c r="AP349" s="55"/>
      <c r="AQ349" s="55"/>
      <c r="AR349" s="55"/>
      <c r="AS349" s="55"/>
      <c r="AT349" s="55"/>
      <c r="AU349" s="55"/>
      <c r="AV349" s="55"/>
      <c r="AW349" s="55"/>
      <c r="AX349" s="55"/>
      <c r="AY349" s="55"/>
      <c r="AZ349" s="55"/>
      <c r="BA349" s="55"/>
      <c r="BB349" s="55"/>
      <c r="BC349" s="55"/>
      <c r="BD349" s="55"/>
    </row>
    <row r="350" spans="13:56" ht="14.25" customHeight="1">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c r="AO350" s="55"/>
      <c r="AP350" s="55"/>
      <c r="AQ350" s="55"/>
      <c r="AR350" s="55"/>
      <c r="AS350" s="55"/>
      <c r="AT350" s="55"/>
      <c r="AU350" s="55"/>
      <c r="AV350" s="55"/>
      <c r="AW350" s="55"/>
      <c r="AX350" s="55"/>
      <c r="AY350" s="55"/>
      <c r="AZ350" s="55"/>
      <c r="BA350" s="55"/>
      <c r="BB350" s="55"/>
      <c r="BC350" s="55"/>
      <c r="BD350" s="55"/>
    </row>
    <row r="351" spans="13:56" ht="14.25" customHeight="1">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c r="AL351" s="55"/>
      <c r="AM351" s="55"/>
      <c r="AN351" s="55"/>
      <c r="AO351" s="55"/>
      <c r="AP351" s="55"/>
      <c r="AQ351" s="55"/>
      <c r="AR351" s="55"/>
      <c r="AS351" s="55"/>
      <c r="AT351" s="55"/>
      <c r="AU351" s="55"/>
      <c r="AV351" s="55"/>
      <c r="AW351" s="55"/>
      <c r="AX351" s="55"/>
      <c r="AY351" s="55"/>
      <c r="AZ351" s="55"/>
      <c r="BA351" s="55"/>
      <c r="BB351" s="55"/>
      <c r="BC351" s="55"/>
      <c r="BD351" s="55"/>
    </row>
    <row r="352" spans="13:56" ht="14.25" customHeight="1">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c r="AL352" s="55"/>
      <c r="AM352" s="55"/>
      <c r="AN352" s="55"/>
      <c r="AO352" s="55"/>
      <c r="AP352" s="55"/>
      <c r="AQ352" s="55"/>
      <c r="AR352" s="55"/>
      <c r="AS352" s="55"/>
      <c r="AT352" s="55"/>
      <c r="AU352" s="55"/>
      <c r="AV352" s="55"/>
      <c r="AW352" s="55"/>
      <c r="AX352" s="55"/>
      <c r="AY352" s="55"/>
      <c r="AZ352" s="55"/>
      <c r="BA352" s="55"/>
      <c r="BB352" s="55"/>
      <c r="BC352" s="55"/>
      <c r="BD352" s="55"/>
    </row>
    <row r="353" spans="13:56" ht="14.25" customHeight="1">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c r="AL353" s="55"/>
      <c r="AM353" s="55"/>
      <c r="AN353" s="55"/>
      <c r="AO353" s="55"/>
      <c r="AP353" s="55"/>
      <c r="AQ353" s="55"/>
      <c r="AR353" s="55"/>
      <c r="AS353" s="55"/>
      <c r="AT353" s="55"/>
      <c r="AU353" s="55"/>
      <c r="AV353" s="55"/>
      <c r="AW353" s="55"/>
      <c r="AX353" s="55"/>
      <c r="AY353" s="55"/>
      <c r="AZ353" s="55"/>
      <c r="BA353" s="55"/>
      <c r="BB353" s="55"/>
      <c r="BC353" s="55"/>
      <c r="BD353" s="55"/>
    </row>
    <row r="354" spans="13:56" ht="14.25" customHeight="1">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c r="AL354" s="55"/>
      <c r="AM354" s="55"/>
      <c r="AN354" s="55"/>
      <c r="AO354" s="55"/>
      <c r="AP354" s="55"/>
      <c r="AQ354" s="55"/>
      <c r="AR354" s="55"/>
      <c r="AS354" s="55"/>
      <c r="AT354" s="55"/>
      <c r="AU354" s="55"/>
      <c r="AV354" s="55"/>
      <c r="AW354" s="55"/>
      <c r="AX354" s="55"/>
      <c r="AY354" s="55"/>
      <c r="AZ354" s="55"/>
      <c r="BA354" s="55"/>
      <c r="BB354" s="55"/>
      <c r="BC354" s="55"/>
      <c r="BD354" s="55"/>
    </row>
    <row r="355" spans="13:56" ht="14.25" customHeight="1">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c r="AO355" s="55"/>
      <c r="AP355" s="55"/>
      <c r="AQ355" s="55"/>
      <c r="AR355" s="55"/>
      <c r="AS355" s="55"/>
      <c r="AT355" s="55"/>
      <c r="AU355" s="55"/>
      <c r="AV355" s="55"/>
      <c r="AW355" s="55"/>
      <c r="AX355" s="55"/>
      <c r="AY355" s="55"/>
      <c r="AZ355" s="55"/>
      <c r="BA355" s="55"/>
      <c r="BB355" s="55"/>
      <c r="BC355" s="55"/>
      <c r="BD355" s="55"/>
    </row>
    <row r="356" spans="13:56" ht="14.25" customHeight="1">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c r="AL356" s="55"/>
      <c r="AM356" s="55"/>
      <c r="AN356" s="55"/>
      <c r="AO356" s="55"/>
      <c r="AP356" s="55"/>
      <c r="AQ356" s="55"/>
      <c r="AR356" s="55"/>
      <c r="AS356" s="55"/>
      <c r="AT356" s="55"/>
      <c r="AU356" s="55"/>
      <c r="AV356" s="55"/>
      <c r="AW356" s="55"/>
      <c r="AX356" s="55"/>
      <c r="AY356" s="55"/>
      <c r="AZ356" s="55"/>
      <c r="BA356" s="55"/>
      <c r="BB356" s="55"/>
      <c r="BC356" s="55"/>
      <c r="BD356" s="55"/>
    </row>
    <row r="357" spans="13:56" ht="14.25" customHeight="1">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c r="AL357" s="55"/>
      <c r="AM357" s="55"/>
      <c r="AN357" s="55"/>
      <c r="AO357" s="55"/>
      <c r="AP357" s="55"/>
      <c r="AQ357" s="55"/>
      <c r="AR357" s="55"/>
      <c r="AS357" s="55"/>
      <c r="AT357" s="55"/>
      <c r="AU357" s="55"/>
      <c r="AV357" s="55"/>
      <c r="AW357" s="55"/>
      <c r="AX357" s="55"/>
      <c r="AY357" s="55"/>
      <c r="AZ357" s="55"/>
      <c r="BA357" s="55"/>
      <c r="BB357" s="55"/>
      <c r="BC357" s="55"/>
      <c r="BD357" s="55"/>
    </row>
    <row r="358" spans="13:56" ht="14.25" customHeight="1">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c r="AL358" s="55"/>
      <c r="AM358" s="55"/>
      <c r="AN358" s="55"/>
      <c r="AO358" s="55"/>
      <c r="AP358" s="55"/>
      <c r="AQ358" s="55"/>
      <c r="AR358" s="55"/>
      <c r="AS358" s="55"/>
      <c r="AT358" s="55"/>
      <c r="AU358" s="55"/>
      <c r="AV358" s="55"/>
      <c r="AW358" s="55"/>
      <c r="AX358" s="55"/>
      <c r="AY358" s="55"/>
      <c r="AZ358" s="55"/>
      <c r="BA358" s="55"/>
      <c r="BB358" s="55"/>
      <c r="BC358" s="55"/>
      <c r="BD358" s="55"/>
    </row>
    <row r="359" spans="13:56" ht="14.25" customHeight="1">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c r="AL359" s="55"/>
      <c r="AM359" s="55"/>
      <c r="AN359" s="55"/>
      <c r="AO359" s="55"/>
      <c r="AP359" s="55"/>
      <c r="AQ359" s="55"/>
      <c r="AR359" s="55"/>
      <c r="AS359" s="55"/>
      <c r="AT359" s="55"/>
      <c r="AU359" s="55"/>
      <c r="AV359" s="55"/>
      <c r="AW359" s="55"/>
      <c r="AX359" s="55"/>
      <c r="AY359" s="55"/>
      <c r="AZ359" s="55"/>
      <c r="BA359" s="55"/>
      <c r="BB359" s="55"/>
      <c r="BC359" s="55"/>
      <c r="BD359" s="55"/>
    </row>
    <row r="360" spans="13:56" ht="14.25" customHeight="1">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c r="AL360" s="55"/>
      <c r="AM360" s="55"/>
      <c r="AN360" s="55"/>
      <c r="AO360" s="55"/>
      <c r="AP360" s="55"/>
      <c r="AQ360" s="55"/>
      <c r="AR360" s="55"/>
      <c r="AS360" s="55"/>
      <c r="AT360" s="55"/>
      <c r="AU360" s="55"/>
      <c r="AV360" s="55"/>
      <c r="AW360" s="55"/>
      <c r="AX360" s="55"/>
      <c r="AY360" s="55"/>
      <c r="AZ360" s="55"/>
      <c r="BA360" s="55"/>
      <c r="BB360" s="55"/>
      <c r="BC360" s="55"/>
      <c r="BD360" s="55"/>
    </row>
    <row r="361" spans="13:56" ht="14.25" customHeight="1">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c r="AL361" s="55"/>
      <c r="AM361" s="55"/>
      <c r="AN361" s="55"/>
      <c r="AO361" s="55"/>
      <c r="AP361" s="55"/>
      <c r="AQ361" s="55"/>
      <c r="AR361" s="55"/>
      <c r="AS361" s="55"/>
      <c r="AT361" s="55"/>
      <c r="AU361" s="55"/>
      <c r="AV361" s="55"/>
      <c r="AW361" s="55"/>
      <c r="AX361" s="55"/>
      <c r="AY361" s="55"/>
      <c r="AZ361" s="55"/>
      <c r="BA361" s="55"/>
      <c r="BB361" s="55"/>
      <c r="BC361" s="55"/>
      <c r="BD361" s="55"/>
    </row>
    <row r="362" spans="13:56" ht="14.25" customHeight="1">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c r="AL362" s="55"/>
      <c r="AM362" s="55"/>
      <c r="AN362" s="55"/>
      <c r="AO362" s="55"/>
      <c r="AP362" s="55"/>
      <c r="AQ362" s="55"/>
      <c r="AR362" s="55"/>
      <c r="AS362" s="55"/>
      <c r="AT362" s="55"/>
      <c r="AU362" s="55"/>
      <c r="AV362" s="55"/>
      <c r="AW362" s="55"/>
      <c r="AX362" s="55"/>
      <c r="AY362" s="55"/>
      <c r="AZ362" s="55"/>
      <c r="BA362" s="55"/>
      <c r="BB362" s="55"/>
      <c r="BC362" s="55"/>
      <c r="BD362" s="55"/>
    </row>
    <row r="363" spans="13:56" ht="14.25" customHeight="1">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c r="AL363" s="55"/>
      <c r="AM363" s="55"/>
      <c r="AN363" s="55"/>
      <c r="AO363" s="55"/>
      <c r="AP363" s="55"/>
      <c r="AQ363" s="55"/>
      <c r="AR363" s="55"/>
      <c r="AS363" s="55"/>
      <c r="AT363" s="55"/>
      <c r="AU363" s="55"/>
      <c r="AV363" s="55"/>
      <c r="AW363" s="55"/>
      <c r="AX363" s="55"/>
      <c r="AY363" s="55"/>
      <c r="AZ363" s="55"/>
      <c r="BA363" s="55"/>
      <c r="BB363" s="55"/>
      <c r="BC363" s="55"/>
      <c r="BD363" s="55"/>
    </row>
    <row r="364" spans="13:56" ht="14.25" customHeight="1">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c r="AZ364" s="55"/>
      <c r="BA364" s="55"/>
      <c r="BB364" s="55"/>
      <c r="BC364" s="55"/>
      <c r="BD364" s="55"/>
    </row>
    <row r="365" spans="13:56" ht="14.25" customHeight="1">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c r="AL365" s="55"/>
      <c r="AM365" s="55"/>
      <c r="AN365" s="55"/>
      <c r="AO365" s="55"/>
      <c r="AP365" s="55"/>
      <c r="AQ365" s="55"/>
      <c r="AR365" s="55"/>
      <c r="AS365" s="55"/>
      <c r="AT365" s="55"/>
      <c r="AU365" s="55"/>
      <c r="AV365" s="55"/>
      <c r="AW365" s="55"/>
      <c r="AX365" s="55"/>
      <c r="AY365" s="55"/>
      <c r="AZ365" s="55"/>
      <c r="BA365" s="55"/>
      <c r="BB365" s="55"/>
      <c r="BC365" s="55"/>
      <c r="BD365" s="55"/>
    </row>
    <row r="366" spans="13:56" ht="14.25" customHeight="1">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c r="AL366" s="55"/>
      <c r="AM366" s="55"/>
      <c r="AN366" s="55"/>
      <c r="AO366" s="55"/>
      <c r="AP366" s="55"/>
      <c r="AQ366" s="55"/>
      <c r="AR366" s="55"/>
      <c r="AS366" s="55"/>
      <c r="AT366" s="55"/>
      <c r="AU366" s="55"/>
      <c r="AV366" s="55"/>
      <c r="AW366" s="55"/>
      <c r="AX366" s="55"/>
      <c r="AY366" s="55"/>
      <c r="AZ366" s="55"/>
      <c r="BA366" s="55"/>
      <c r="BB366" s="55"/>
      <c r="BC366" s="55"/>
      <c r="BD366" s="55"/>
    </row>
    <row r="367" spans="13:56" ht="14.25" customHeight="1">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c r="AL367" s="55"/>
      <c r="AM367" s="55"/>
      <c r="AN367" s="55"/>
      <c r="AO367" s="55"/>
      <c r="AP367" s="55"/>
      <c r="AQ367" s="55"/>
      <c r="AR367" s="55"/>
      <c r="AS367" s="55"/>
      <c r="AT367" s="55"/>
      <c r="AU367" s="55"/>
      <c r="AV367" s="55"/>
      <c r="AW367" s="55"/>
      <c r="AX367" s="55"/>
      <c r="AY367" s="55"/>
      <c r="AZ367" s="55"/>
      <c r="BA367" s="55"/>
      <c r="BB367" s="55"/>
      <c r="BC367" s="55"/>
      <c r="BD367" s="55"/>
    </row>
    <row r="368" spans="13:56" ht="14.25" customHeight="1">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c r="AL368" s="55"/>
      <c r="AM368" s="55"/>
      <c r="AN368" s="55"/>
      <c r="AO368" s="55"/>
      <c r="AP368" s="55"/>
      <c r="AQ368" s="55"/>
      <c r="AR368" s="55"/>
      <c r="AS368" s="55"/>
      <c r="AT368" s="55"/>
      <c r="AU368" s="55"/>
      <c r="AV368" s="55"/>
      <c r="AW368" s="55"/>
      <c r="AX368" s="55"/>
      <c r="AY368" s="55"/>
      <c r="AZ368" s="55"/>
      <c r="BA368" s="55"/>
      <c r="BB368" s="55"/>
      <c r="BC368" s="55"/>
      <c r="BD368" s="55"/>
    </row>
    <row r="369" spans="13:56" ht="14.25" customHeight="1">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c r="AL369" s="55"/>
      <c r="AM369" s="55"/>
      <c r="AN369" s="55"/>
      <c r="AO369" s="55"/>
      <c r="AP369" s="55"/>
      <c r="AQ369" s="55"/>
      <c r="AR369" s="55"/>
      <c r="AS369" s="55"/>
      <c r="AT369" s="55"/>
      <c r="AU369" s="55"/>
      <c r="AV369" s="55"/>
      <c r="AW369" s="55"/>
      <c r="AX369" s="55"/>
      <c r="AY369" s="55"/>
      <c r="AZ369" s="55"/>
      <c r="BA369" s="55"/>
      <c r="BB369" s="55"/>
      <c r="BC369" s="55"/>
      <c r="BD369" s="55"/>
    </row>
    <row r="370" spans="13:56" ht="14.25" customHeight="1">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c r="AL370" s="55"/>
      <c r="AM370" s="55"/>
      <c r="AN370" s="55"/>
      <c r="AO370" s="55"/>
      <c r="AP370" s="55"/>
      <c r="AQ370" s="55"/>
      <c r="AR370" s="55"/>
      <c r="AS370" s="55"/>
      <c r="AT370" s="55"/>
      <c r="AU370" s="55"/>
      <c r="AV370" s="55"/>
      <c r="AW370" s="55"/>
      <c r="AX370" s="55"/>
      <c r="AY370" s="55"/>
      <c r="AZ370" s="55"/>
      <c r="BA370" s="55"/>
      <c r="BB370" s="55"/>
      <c r="BC370" s="55"/>
      <c r="BD370" s="55"/>
    </row>
    <row r="371" spans="13:56" ht="14.25" customHeight="1">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c r="AL371" s="55"/>
      <c r="AM371" s="55"/>
      <c r="AN371" s="55"/>
      <c r="AO371" s="55"/>
      <c r="AP371" s="55"/>
      <c r="AQ371" s="55"/>
      <c r="AR371" s="55"/>
      <c r="AS371" s="55"/>
      <c r="AT371" s="55"/>
      <c r="AU371" s="55"/>
      <c r="AV371" s="55"/>
      <c r="AW371" s="55"/>
      <c r="AX371" s="55"/>
      <c r="AY371" s="55"/>
      <c r="AZ371" s="55"/>
      <c r="BA371" s="55"/>
      <c r="BB371" s="55"/>
      <c r="BC371" s="55"/>
      <c r="BD371" s="55"/>
    </row>
    <row r="372" spans="13:56" ht="14.25" customHeight="1">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c r="AL372" s="55"/>
      <c r="AM372" s="55"/>
      <c r="AN372" s="55"/>
      <c r="AO372" s="55"/>
      <c r="AP372" s="55"/>
      <c r="AQ372" s="55"/>
      <c r="AR372" s="55"/>
      <c r="AS372" s="55"/>
      <c r="AT372" s="55"/>
      <c r="AU372" s="55"/>
      <c r="AV372" s="55"/>
      <c r="AW372" s="55"/>
      <c r="AX372" s="55"/>
      <c r="AY372" s="55"/>
      <c r="AZ372" s="55"/>
      <c r="BA372" s="55"/>
      <c r="BB372" s="55"/>
      <c r="BC372" s="55"/>
      <c r="BD372" s="55"/>
    </row>
    <row r="373" spans="13:56" ht="14.25" customHeight="1">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c r="AL373" s="55"/>
      <c r="AM373" s="55"/>
      <c r="AN373" s="55"/>
      <c r="AO373" s="55"/>
      <c r="AP373" s="55"/>
      <c r="AQ373" s="55"/>
      <c r="AR373" s="55"/>
      <c r="AS373" s="55"/>
      <c r="AT373" s="55"/>
      <c r="AU373" s="55"/>
      <c r="AV373" s="55"/>
      <c r="AW373" s="55"/>
      <c r="AX373" s="55"/>
      <c r="AY373" s="55"/>
      <c r="AZ373" s="55"/>
      <c r="BA373" s="55"/>
      <c r="BB373" s="55"/>
      <c r="BC373" s="55"/>
      <c r="BD373" s="55"/>
    </row>
    <row r="374" spans="13:56" ht="14.25" customHeight="1">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c r="AL374" s="55"/>
      <c r="AM374" s="55"/>
      <c r="AN374" s="55"/>
      <c r="AO374" s="55"/>
      <c r="AP374" s="55"/>
      <c r="AQ374" s="55"/>
      <c r="AR374" s="55"/>
      <c r="AS374" s="55"/>
      <c r="AT374" s="55"/>
      <c r="AU374" s="55"/>
      <c r="AV374" s="55"/>
      <c r="AW374" s="55"/>
      <c r="AX374" s="55"/>
      <c r="AY374" s="55"/>
      <c r="AZ374" s="55"/>
      <c r="BA374" s="55"/>
      <c r="BB374" s="55"/>
      <c r="BC374" s="55"/>
      <c r="BD374" s="55"/>
    </row>
    <row r="375" spans="13:56" ht="14.25" customHeight="1">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s="55"/>
      <c r="AM375" s="55"/>
      <c r="AN375" s="55"/>
      <c r="AO375" s="55"/>
      <c r="AP375" s="55"/>
      <c r="AQ375" s="55"/>
      <c r="AR375" s="55"/>
      <c r="AS375" s="55"/>
      <c r="AT375" s="55"/>
      <c r="AU375" s="55"/>
      <c r="AV375" s="55"/>
      <c r="AW375" s="55"/>
      <c r="AX375" s="55"/>
      <c r="AY375" s="55"/>
      <c r="AZ375" s="55"/>
      <c r="BA375" s="55"/>
      <c r="BB375" s="55"/>
      <c r="BC375" s="55"/>
      <c r="BD375" s="55"/>
    </row>
    <row r="376" spans="13:56" ht="14.25" customHeight="1">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s="55"/>
      <c r="AM376" s="55"/>
      <c r="AN376" s="55"/>
      <c r="AO376" s="55"/>
      <c r="AP376" s="55"/>
      <c r="AQ376" s="55"/>
      <c r="AR376" s="55"/>
      <c r="AS376" s="55"/>
      <c r="AT376" s="55"/>
      <c r="AU376" s="55"/>
      <c r="AV376" s="55"/>
      <c r="AW376" s="55"/>
      <c r="AX376" s="55"/>
      <c r="AY376" s="55"/>
      <c r="AZ376" s="55"/>
      <c r="BA376" s="55"/>
      <c r="BB376" s="55"/>
      <c r="BC376" s="55"/>
      <c r="BD376" s="55"/>
    </row>
    <row r="377" spans="13:56" ht="14.25" customHeight="1">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c r="AL377" s="55"/>
      <c r="AM377" s="55"/>
      <c r="AN377" s="55"/>
      <c r="AO377" s="55"/>
      <c r="AP377" s="55"/>
      <c r="AQ377" s="55"/>
      <c r="AR377" s="55"/>
      <c r="AS377" s="55"/>
      <c r="AT377" s="55"/>
      <c r="AU377" s="55"/>
      <c r="AV377" s="55"/>
      <c r="AW377" s="55"/>
      <c r="AX377" s="55"/>
      <c r="AY377" s="55"/>
      <c r="AZ377" s="55"/>
      <c r="BA377" s="55"/>
      <c r="BB377" s="55"/>
      <c r="BC377" s="55"/>
      <c r="BD377" s="55"/>
    </row>
    <row r="378" spans="13:56" ht="14.25" customHeight="1">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c r="AL378" s="55"/>
      <c r="AM378" s="55"/>
      <c r="AN378" s="55"/>
      <c r="AO378" s="55"/>
      <c r="AP378" s="55"/>
      <c r="AQ378" s="55"/>
      <c r="AR378" s="55"/>
      <c r="AS378" s="55"/>
      <c r="AT378" s="55"/>
      <c r="AU378" s="55"/>
      <c r="AV378" s="55"/>
      <c r="AW378" s="55"/>
      <c r="AX378" s="55"/>
      <c r="AY378" s="55"/>
      <c r="AZ378" s="55"/>
      <c r="BA378" s="55"/>
      <c r="BB378" s="55"/>
      <c r="BC378" s="55"/>
      <c r="BD378" s="55"/>
    </row>
    <row r="379" spans="13:56" ht="14.25" customHeight="1">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c r="AL379" s="55"/>
      <c r="AM379" s="55"/>
      <c r="AN379" s="55"/>
      <c r="AO379" s="55"/>
      <c r="AP379" s="55"/>
      <c r="AQ379" s="55"/>
      <c r="AR379" s="55"/>
      <c r="AS379" s="55"/>
      <c r="AT379" s="55"/>
      <c r="AU379" s="55"/>
      <c r="AV379" s="55"/>
      <c r="AW379" s="55"/>
      <c r="AX379" s="55"/>
      <c r="AY379" s="55"/>
      <c r="AZ379" s="55"/>
      <c r="BA379" s="55"/>
      <c r="BB379" s="55"/>
      <c r="BC379" s="55"/>
      <c r="BD379" s="55"/>
    </row>
    <row r="380" spans="13:56" ht="14.25" customHeight="1">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c r="AL380" s="55"/>
      <c r="AM380" s="55"/>
      <c r="AN380" s="55"/>
      <c r="AO380" s="55"/>
      <c r="AP380" s="55"/>
      <c r="AQ380" s="55"/>
      <c r="AR380" s="55"/>
      <c r="AS380" s="55"/>
      <c r="AT380" s="55"/>
      <c r="AU380" s="55"/>
      <c r="AV380" s="55"/>
      <c r="AW380" s="55"/>
      <c r="AX380" s="55"/>
      <c r="AY380" s="55"/>
      <c r="AZ380" s="55"/>
      <c r="BA380" s="55"/>
      <c r="BB380" s="55"/>
      <c r="BC380" s="55"/>
      <c r="BD380" s="55"/>
    </row>
    <row r="381" spans="13:56" ht="14.25" customHeight="1">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row>
    <row r="382" spans="13:56" ht="14.25" customHeight="1">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c r="AZ382" s="55"/>
      <c r="BA382" s="55"/>
      <c r="BB382" s="55"/>
      <c r="BC382" s="55"/>
      <c r="BD382" s="55"/>
    </row>
    <row r="383" spans="13:56" ht="14.25" customHeight="1">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c r="AL383" s="55"/>
      <c r="AM383" s="55"/>
      <c r="AN383" s="55"/>
      <c r="AO383" s="55"/>
      <c r="AP383" s="55"/>
      <c r="AQ383" s="55"/>
      <c r="AR383" s="55"/>
      <c r="AS383" s="55"/>
      <c r="AT383" s="55"/>
      <c r="AU383" s="55"/>
      <c r="AV383" s="55"/>
      <c r="AW383" s="55"/>
      <c r="AX383" s="55"/>
      <c r="AY383" s="55"/>
      <c r="AZ383" s="55"/>
      <c r="BA383" s="55"/>
      <c r="BB383" s="55"/>
      <c r="BC383" s="55"/>
      <c r="BD383" s="55"/>
    </row>
    <row r="384" spans="13:56" ht="14.25" customHeight="1">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c r="AL384" s="55"/>
      <c r="AM384" s="55"/>
      <c r="AN384" s="55"/>
      <c r="AO384" s="55"/>
      <c r="AP384" s="55"/>
      <c r="AQ384" s="55"/>
      <c r="AR384" s="55"/>
      <c r="AS384" s="55"/>
      <c r="AT384" s="55"/>
      <c r="AU384" s="55"/>
      <c r="AV384" s="55"/>
      <c r="AW384" s="55"/>
      <c r="AX384" s="55"/>
      <c r="AY384" s="55"/>
      <c r="AZ384" s="55"/>
      <c r="BA384" s="55"/>
      <c r="BB384" s="55"/>
      <c r="BC384" s="55"/>
      <c r="BD384" s="55"/>
    </row>
    <row r="385" spans="13:56" ht="14.25" customHeight="1">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c r="AL385" s="55"/>
      <c r="AM385" s="55"/>
      <c r="AN385" s="55"/>
      <c r="AO385" s="55"/>
      <c r="AP385" s="55"/>
      <c r="AQ385" s="55"/>
      <c r="AR385" s="55"/>
      <c r="AS385" s="55"/>
      <c r="AT385" s="55"/>
      <c r="AU385" s="55"/>
      <c r="AV385" s="55"/>
      <c r="AW385" s="55"/>
      <c r="AX385" s="55"/>
      <c r="AY385" s="55"/>
      <c r="AZ385" s="55"/>
      <c r="BA385" s="55"/>
      <c r="BB385" s="55"/>
      <c r="BC385" s="55"/>
      <c r="BD385" s="55"/>
    </row>
    <row r="386" spans="13:56" ht="14.25" customHeight="1">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c r="AL386" s="55"/>
      <c r="AM386" s="55"/>
      <c r="AN386" s="55"/>
      <c r="AO386" s="55"/>
      <c r="AP386" s="55"/>
      <c r="AQ386" s="55"/>
      <c r="AR386" s="55"/>
      <c r="AS386" s="55"/>
      <c r="AT386" s="55"/>
      <c r="AU386" s="55"/>
      <c r="AV386" s="55"/>
      <c r="AW386" s="55"/>
      <c r="AX386" s="55"/>
      <c r="AY386" s="55"/>
      <c r="AZ386" s="55"/>
      <c r="BA386" s="55"/>
      <c r="BB386" s="55"/>
      <c r="BC386" s="55"/>
      <c r="BD386" s="55"/>
    </row>
    <row r="387" spans="13:56" ht="14.25" customHeight="1">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c r="AL387" s="55"/>
      <c r="AM387" s="55"/>
      <c r="AN387" s="55"/>
      <c r="AO387" s="55"/>
      <c r="AP387" s="55"/>
      <c r="AQ387" s="55"/>
      <c r="AR387" s="55"/>
      <c r="AS387" s="55"/>
      <c r="AT387" s="55"/>
      <c r="AU387" s="55"/>
      <c r="AV387" s="55"/>
      <c r="AW387" s="55"/>
      <c r="AX387" s="55"/>
      <c r="AY387" s="55"/>
      <c r="AZ387" s="55"/>
      <c r="BA387" s="55"/>
      <c r="BB387" s="55"/>
      <c r="BC387" s="55"/>
      <c r="BD387" s="55"/>
    </row>
    <row r="388" spans="13:56" ht="14.25" customHeight="1">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c r="AL388" s="55"/>
      <c r="AM388" s="55"/>
      <c r="AN388" s="55"/>
      <c r="AO388" s="55"/>
      <c r="AP388" s="55"/>
      <c r="AQ388" s="55"/>
      <c r="AR388" s="55"/>
      <c r="AS388" s="55"/>
      <c r="AT388" s="55"/>
      <c r="AU388" s="55"/>
      <c r="AV388" s="55"/>
      <c r="AW388" s="55"/>
      <c r="AX388" s="55"/>
      <c r="AY388" s="55"/>
      <c r="AZ388" s="55"/>
      <c r="BA388" s="55"/>
      <c r="BB388" s="55"/>
      <c r="BC388" s="55"/>
      <c r="BD388" s="55"/>
    </row>
    <row r="389" spans="13:56" ht="14.25" customHeight="1">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c r="AZ389" s="55"/>
      <c r="BA389" s="55"/>
      <c r="BB389" s="55"/>
      <c r="BC389" s="55"/>
      <c r="BD389" s="55"/>
    </row>
    <row r="390" spans="13:56" ht="14.25" customHeight="1">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c r="AL390" s="55"/>
      <c r="AM390" s="55"/>
      <c r="AN390" s="55"/>
      <c r="AO390" s="55"/>
      <c r="AP390" s="55"/>
      <c r="AQ390" s="55"/>
      <c r="AR390" s="55"/>
      <c r="AS390" s="55"/>
      <c r="AT390" s="55"/>
      <c r="AU390" s="55"/>
      <c r="AV390" s="55"/>
      <c r="AW390" s="55"/>
      <c r="AX390" s="55"/>
      <c r="AY390" s="55"/>
      <c r="AZ390" s="55"/>
      <c r="BA390" s="55"/>
      <c r="BB390" s="55"/>
      <c r="BC390" s="55"/>
      <c r="BD390" s="55"/>
    </row>
    <row r="391" spans="13:56" ht="14.25" customHeight="1">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c r="AL391" s="55"/>
      <c r="AM391" s="55"/>
      <c r="AN391" s="55"/>
      <c r="AO391" s="55"/>
      <c r="AP391" s="55"/>
      <c r="AQ391" s="55"/>
      <c r="AR391" s="55"/>
      <c r="AS391" s="55"/>
      <c r="AT391" s="55"/>
      <c r="AU391" s="55"/>
      <c r="AV391" s="55"/>
      <c r="AW391" s="55"/>
      <c r="AX391" s="55"/>
      <c r="AY391" s="55"/>
      <c r="AZ391" s="55"/>
      <c r="BA391" s="55"/>
      <c r="BB391" s="55"/>
      <c r="BC391" s="55"/>
      <c r="BD391" s="55"/>
    </row>
    <row r="392" spans="13:56" ht="14.25" customHeight="1">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c r="AL392" s="55"/>
      <c r="AM392" s="55"/>
      <c r="AN392" s="55"/>
      <c r="AO392" s="55"/>
      <c r="AP392" s="55"/>
      <c r="AQ392" s="55"/>
      <c r="AR392" s="55"/>
      <c r="AS392" s="55"/>
      <c r="AT392" s="55"/>
      <c r="AU392" s="55"/>
      <c r="AV392" s="55"/>
      <c r="AW392" s="55"/>
      <c r="AX392" s="55"/>
      <c r="AY392" s="55"/>
      <c r="AZ392" s="55"/>
      <c r="BA392" s="55"/>
      <c r="BB392" s="55"/>
      <c r="BC392" s="55"/>
      <c r="BD392" s="55"/>
    </row>
    <row r="393" spans="13:56" ht="14.25" customHeight="1">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c r="AL393" s="55"/>
      <c r="AM393" s="55"/>
      <c r="AN393" s="55"/>
      <c r="AO393" s="55"/>
      <c r="AP393" s="55"/>
      <c r="AQ393" s="55"/>
      <c r="AR393" s="55"/>
      <c r="AS393" s="55"/>
      <c r="AT393" s="55"/>
      <c r="AU393" s="55"/>
      <c r="AV393" s="55"/>
      <c r="AW393" s="55"/>
      <c r="AX393" s="55"/>
      <c r="AY393" s="55"/>
      <c r="AZ393" s="55"/>
      <c r="BA393" s="55"/>
      <c r="BB393" s="55"/>
      <c r="BC393" s="55"/>
      <c r="BD393" s="55"/>
    </row>
    <row r="394" spans="13:56" ht="14.25" customHeight="1">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c r="AL394" s="55"/>
      <c r="AM394" s="55"/>
      <c r="AN394" s="55"/>
      <c r="AO394" s="55"/>
      <c r="AP394" s="55"/>
      <c r="AQ394" s="55"/>
      <c r="AR394" s="55"/>
      <c r="AS394" s="55"/>
      <c r="AT394" s="55"/>
      <c r="AU394" s="55"/>
      <c r="AV394" s="55"/>
      <c r="AW394" s="55"/>
      <c r="AX394" s="55"/>
      <c r="AY394" s="55"/>
      <c r="AZ394" s="55"/>
      <c r="BA394" s="55"/>
      <c r="BB394" s="55"/>
      <c r="BC394" s="55"/>
      <c r="BD394" s="55"/>
    </row>
    <row r="395" spans="13:56" ht="14.25" customHeight="1">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c r="AL395" s="55"/>
      <c r="AM395" s="55"/>
      <c r="AN395" s="55"/>
      <c r="AO395" s="55"/>
      <c r="AP395" s="55"/>
      <c r="AQ395" s="55"/>
      <c r="AR395" s="55"/>
      <c r="AS395" s="55"/>
      <c r="AT395" s="55"/>
      <c r="AU395" s="55"/>
      <c r="AV395" s="55"/>
      <c r="AW395" s="55"/>
      <c r="AX395" s="55"/>
      <c r="AY395" s="55"/>
      <c r="AZ395" s="55"/>
      <c r="BA395" s="55"/>
      <c r="BB395" s="55"/>
      <c r="BC395" s="55"/>
      <c r="BD395" s="55"/>
    </row>
    <row r="396" spans="13:56" ht="14.25" customHeight="1">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c r="AL396" s="55"/>
      <c r="AM396" s="55"/>
      <c r="AN396" s="55"/>
      <c r="AO396" s="55"/>
      <c r="AP396" s="55"/>
      <c r="AQ396" s="55"/>
      <c r="AR396" s="55"/>
      <c r="AS396" s="55"/>
      <c r="AT396" s="55"/>
      <c r="AU396" s="55"/>
      <c r="AV396" s="55"/>
      <c r="AW396" s="55"/>
      <c r="AX396" s="55"/>
      <c r="AY396" s="55"/>
      <c r="AZ396" s="55"/>
      <c r="BA396" s="55"/>
      <c r="BB396" s="55"/>
      <c r="BC396" s="55"/>
      <c r="BD396" s="55"/>
    </row>
    <row r="397" spans="13:56" ht="14.25" customHeight="1">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c r="AL397" s="55"/>
      <c r="AM397" s="55"/>
      <c r="AN397" s="55"/>
      <c r="AO397" s="55"/>
      <c r="AP397" s="55"/>
      <c r="AQ397" s="55"/>
      <c r="AR397" s="55"/>
      <c r="AS397" s="55"/>
      <c r="AT397" s="55"/>
      <c r="AU397" s="55"/>
      <c r="AV397" s="55"/>
      <c r="AW397" s="55"/>
      <c r="AX397" s="55"/>
      <c r="AY397" s="55"/>
      <c r="AZ397" s="55"/>
      <c r="BA397" s="55"/>
      <c r="BB397" s="55"/>
      <c r="BC397" s="55"/>
      <c r="BD397" s="55"/>
    </row>
    <row r="398" spans="13:56" ht="14.25" customHeight="1">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c r="AL398" s="55"/>
      <c r="AM398" s="55"/>
      <c r="AN398" s="55"/>
      <c r="AO398" s="55"/>
      <c r="AP398" s="55"/>
      <c r="AQ398" s="55"/>
      <c r="AR398" s="55"/>
      <c r="AS398" s="55"/>
      <c r="AT398" s="55"/>
      <c r="AU398" s="55"/>
      <c r="AV398" s="55"/>
      <c r="AW398" s="55"/>
      <c r="AX398" s="55"/>
      <c r="AY398" s="55"/>
      <c r="AZ398" s="55"/>
      <c r="BA398" s="55"/>
      <c r="BB398" s="55"/>
      <c r="BC398" s="55"/>
      <c r="BD398" s="55"/>
    </row>
    <row r="399" spans="13:56" ht="14.25" customHeight="1">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row>
    <row r="400" spans="13:56" ht="14.25" customHeight="1">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row>
    <row r="401" spans="13:56" ht="14.25" customHeight="1">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c r="AZ401" s="55"/>
      <c r="BA401" s="55"/>
      <c r="BB401" s="55"/>
      <c r="BC401" s="55"/>
      <c r="BD401" s="55"/>
    </row>
    <row r="402" spans="13:56" ht="14.25" customHeight="1">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row>
    <row r="403" spans="13:56" ht="14.25" customHeight="1">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c r="AZ403" s="55"/>
      <c r="BA403" s="55"/>
      <c r="BB403" s="55"/>
      <c r="BC403" s="55"/>
      <c r="BD403" s="55"/>
    </row>
    <row r="404" spans="13:56" ht="14.25" customHeight="1">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c r="AZ404" s="55"/>
      <c r="BA404" s="55"/>
      <c r="BB404" s="55"/>
      <c r="BC404" s="55"/>
      <c r="BD404" s="55"/>
    </row>
    <row r="405" spans="13:56" ht="14.25" customHeight="1">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c r="AZ405" s="55"/>
      <c r="BA405" s="55"/>
      <c r="BB405" s="55"/>
      <c r="BC405" s="55"/>
      <c r="BD405" s="55"/>
    </row>
    <row r="406" spans="13:56" ht="14.25" customHeight="1">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row>
    <row r="407" spans="13:56" ht="14.25" customHeight="1">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c r="AZ407" s="55"/>
      <c r="BA407" s="55"/>
      <c r="BB407" s="55"/>
      <c r="BC407" s="55"/>
      <c r="BD407" s="55"/>
    </row>
    <row r="408" spans="13:56" ht="14.25" customHeight="1">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row>
    <row r="409" spans="13:56" ht="14.25" customHeight="1">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row>
    <row r="410" spans="13:56" ht="14.25" customHeight="1">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row>
    <row r="411" spans="13:56" ht="14.25" customHeight="1">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row>
    <row r="412" spans="13:56" ht="14.25" customHeight="1">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row>
    <row r="413" spans="13:56" ht="14.25" customHeight="1">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row>
    <row r="414" spans="13:56" ht="14.25" customHeight="1">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c r="AZ414" s="55"/>
      <c r="BA414" s="55"/>
      <c r="BB414" s="55"/>
      <c r="BC414" s="55"/>
      <c r="BD414" s="55"/>
    </row>
    <row r="415" spans="13:56" ht="14.25" customHeight="1">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row>
    <row r="416" spans="13:56" ht="14.25" customHeight="1">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row>
    <row r="417" spans="13:56" ht="14.25" customHeight="1">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row>
    <row r="418" spans="13:56" ht="14.25" customHeight="1">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row>
    <row r="419" spans="13:56" ht="14.25" customHeight="1">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row>
    <row r="420" spans="13:56" ht="14.25" customHeight="1">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c r="AZ420" s="55"/>
      <c r="BA420" s="55"/>
      <c r="BB420" s="55"/>
      <c r="BC420" s="55"/>
      <c r="BD420" s="55"/>
    </row>
    <row r="421" spans="13:56" ht="14.25" customHeight="1">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row>
    <row r="422" spans="13:56" ht="14.25" customHeight="1">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row>
    <row r="423" spans="13:56" ht="14.25" customHeight="1">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row>
    <row r="424" spans="13:56" ht="14.25" customHeight="1">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c r="AZ424" s="55"/>
      <c r="BA424" s="55"/>
      <c r="BB424" s="55"/>
      <c r="BC424" s="55"/>
      <c r="BD424" s="55"/>
    </row>
    <row r="425" spans="13:56" ht="14.25" customHeight="1">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row>
    <row r="426" spans="13:56" ht="14.25" customHeight="1">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row>
    <row r="427" spans="13:56" ht="14.25" customHeight="1">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row>
    <row r="428" spans="13:56" ht="14.25" customHeight="1">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row>
    <row r="429" spans="13:56" ht="14.25" customHeight="1">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c r="AZ429" s="55"/>
      <c r="BA429" s="55"/>
      <c r="BB429" s="55"/>
      <c r="BC429" s="55"/>
      <c r="BD429" s="55"/>
    </row>
    <row r="430" spans="13:56" ht="14.25" customHeight="1">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row>
    <row r="431" spans="13:56" ht="14.25" customHeight="1">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row>
    <row r="432" spans="13:56" ht="14.25" customHeight="1">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row>
    <row r="433" spans="13:56" ht="14.25" customHeight="1">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row>
    <row r="434" spans="13:56" ht="14.25" customHeight="1">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row>
    <row r="435" spans="13:56" ht="14.25" customHeight="1">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row>
    <row r="436" spans="13:56" ht="14.25" customHeight="1">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row>
    <row r="437" spans="13:56" ht="14.25" customHeight="1">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row>
    <row r="438" spans="13:56" ht="14.25" customHeight="1">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c r="AZ438" s="55"/>
      <c r="BA438" s="55"/>
      <c r="BB438" s="55"/>
      <c r="BC438" s="55"/>
      <c r="BD438" s="55"/>
    </row>
    <row r="439" spans="13:56" ht="14.25" customHeight="1">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row>
    <row r="440" spans="13:56" ht="14.25" customHeight="1">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row>
    <row r="441" spans="13:56" ht="14.25" customHeight="1">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row>
    <row r="442" spans="13:56" ht="14.25" customHeight="1">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row>
    <row r="443" spans="13:56" ht="14.25" customHeight="1">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row>
    <row r="444" spans="13:56" ht="14.25" customHeight="1">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c r="AZ444" s="55"/>
      <c r="BA444" s="55"/>
      <c r="BB444" s="55"/>
      <c r="BC444" s="55"/>
      <c r="BD444" s="55"/>
    </row>
    <row r="445" spans="13:56" ht="14.25" customHeight="1">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row>
    <row r="446" spans="13:56" ht="14.25" customHeight="1">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row>
    <row r="447" spans="13:56" ht="14.25" customHeight="1">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row>
    <row r="448" spans="13:56" ht="14.25" customHeight="1">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c r="AZ448" s="55"/>
      <c r="BA448" s="55"/>
      <c r="BB448" s="55"/>
      <c r="BC448" s="55"/>
      <c r="BD448" s="55"/>
    </row>
    <row r="449" spans="13:56" ht="14.25" customHeight="1">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row>
    <row r="450" spans="13:56" ht="14.25" customHeight="1">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row>
    <row r="451" spans="13:56" ht="14.25" customHeight="1">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row>
    <row r="452" spans="13:56" ht="14.25" customHeight="1">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row>
    <row r="453" spans="13:56" ht="14.25" customHeight="1">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row>
    <row r="454" spans="13:56" ht="14.25" customHeight="1">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row>
    <row r="455" spans="13:56" ht="14.25" customHeight="1">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row>
    <row r="456" spans="13:56" ht="14.25" customHeight="1">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row>
    <row r="457" spans="13:56" ht="14.25" customHeight="1">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row>
    <row r="458" spans="13:56" ht="14.25" customHeight="1">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row>
    <row r="459" spans="13:56" ht="14.25" customHeight="1">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row>
    <row r="460" spans="13:56" ht="14.25" customHeight="1">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row>
    <row r="461" spans="13:56" ht="14.25" customHeight="1">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row>
    <row r="462" spans="13:56" ht="14.25" customHeight="1">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row>
    <row r="463" spans="13:56" ht="14.25" customHeight="1">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row>
    <row r="464" spans="13:56" ht="14.25" customHeight="1">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row>
    <row r="465" spans="13:56" ht="14.25" customHeight="1">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row>
    <row r="466" spans="13:56" ht="14.25" customHeight="1">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row>
    <row r="467" spans="13:56" ht="14.25" customHeight="1">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c r="AZ467" s="55"/>
      <c r="BA467" s="55"/>
      <c r="BB467" s="55"/>
      <c r="BC467" s="55"/>
      <c r="BD467" s="55"/>
    </row>
    <row r="468" spans="13:56" ht="14.25" customHeight="1">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row>
    <row r="469" spans="13:56" ht="14.25" customHeight="1">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row>
    <row r="470" spans="13:56" ht="14.25" customHeight="1">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row>
    <row r="471" spans="13:56" ht="14.25" customHeight="1">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row>
    <row r="472" spans="13:56" ht="14.25" customHeight="1">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row>
    <row r="473" spans="13:56" ht="14.25" customHeight="1">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row>
    <row r="474" spans="13:56" ht="14.25" customHeight="1">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row>
    <row r="475" spans="13:56" ht="14.25" customHeight="1">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row>
    <row r="476" spans="13:56" ht="14.25" customHeight="1">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row>
    <row r="477" spans="13:56" ht="14.25" customHeight="1">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row>
    <row r="478" spans="13:56" ht="14.25" customHeight="1">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row>
    <row r="479" spans="13:56" ht="14.25" customHeight="1">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row>
    <row r="480" spans="13:56" ht="14.25" customHeight="1">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row>
    <row r="481" spans="13:56" ht="14.25" customHeight="1">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row>
    <row r="482" spans="13:56" ht="14.25" customHeight="1">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row>
    <row r="483" spans="13:56" ht="14.25" customHeight="1">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row>
    <row r="484" spans="13:56" ht="14.25" customHeight="1">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row>
    <row r="485" spans="13:56" ht="14.25" customHeight="1">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row>
    <row r="486" spans="13:56" ht="14.25" customHeight="1">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c r="AZ486" s="55"/>
      <c r="BA486" s="55"/>
      <c r="BB486" s="55"/>
      <c r="BC486" s="55"/>
      <c r="BD486" s="55"/>
    </row>
    <row r="487" spans="13:56" ht="14.25" customHeight="1">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c r="BA487" s="55"/>
      <c r="BB487" s="55"/>
      <c r="BC487" s="55"/>
      <c r="BD487" s="55"/>
    </row>
    <row r="488" spans="13:56" ht="14.25" customHeight="1">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c r="BA488" s="55"/>
      <c r="BB488" s="55"/>
      <c r="BC488" s="55"/>
      <c r="BD488" s="55"/>
    </row>
    <row r="489" spans="13:56" ht="14.25" customHeight="1">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c r="BA489" s="55"/>
      <c r="BB489" s="55"/>
      <c r="BC489" s="55"/>
      <c r="BD489" s="55"/>
    </row>
    <row r="490" spans="13:56" ht="14.25" customHeight="1">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c r="BA490" s="55"/>
      <c r="BB490" s="55"/>
      <c r="BC490" s="55"/>
      <c r="BD490" s="55"/>
    </row>
    <row r="491" spans="13:56" ht="14.25" customHeight="1">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c r="BA491" s="55"/>
      <c r="BB491" s="55"/>
      <c r="BC491" s="55"/>
      <c r="BD491" s="55"/>
    </row>
    <row r="492" spans="13:56" ht="14.25" customHeight="1">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c r="AZ492" s="55"/>
      <c r="BA492" s="55"/>
      <c r="BB492" s="55"/>
      <c r="BC492" s="55"/>
      <c r="BD492" s="55"/>
    </row>
    <row r="493" spans="13:56" ht="14.25" customHeight="1">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c r="BA493" s="55"/>
      <c r="BB493" s="55"/>
      <c r="BC493" s="55"/>
      <c r="BD493" s="55"/>
    </row>
    <row r="494" spans="13:56" ht="14.25" customHeight="1">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c r="BA494" s="55"/>
      <c r="BB494" s="55"/>
      <c r="BC494" s="55"/>
      <c r="BD494" s="55"/>
    </row>
    <row r="495" spans="13:56" ht="14.25" customHeight="1">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c r="BA495" s="55"/>
      <c r="BB495" s="55"/>
      <c r="BC495" s="55"/>
      <c r="BD495" s="55"/>
    </row>
    <row r="496" spans="13:56" ht="14.25" customHeight="1">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c r="BA496" s="55"/>
      <c r="BB496" s="55"/>
      <c r="BC496" s="55"/>
      <c r="BD496" s="55"/>
    </row>
    <row r="497" spans="13:56" ht="14.25" customHeight="1">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c r="BA497" s="55"/>
      <c r="BB497" s="55"/>
      <c r="BC497" s="55"/>
      <c r="BD497" s="55"/>
    </row>
    <row r="498" spans="13:56" ht="14.25" customHeight="1">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c r="BA498" s="55"/>
      <c r="BB498" s="55"/>
      <c r="BC498" s="55"/>
      <c r="BD498" s="55"/>
    </row>
    <row r="499" spans="13:56" ht="14.25" customHeight="1">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c r="BA499" s="55"/>
      <c r="BB499" s="55"/>
      <c r="BC499" s="55"/>
      <c r="BD499" s="55"/>
    </row>
    <row r="500" spans="13:56" ht="14.25" customHeight="1">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c r="BA500" s="55"/>
      <c r="BB500" s="55"/>
      <c r="BC500" s="55"/>
      <c r="BD500" s="55"/>
    </row>
    <row r="501" spans="13:56" ht="14.25" customHeight="1">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c r="BA501" s="55"/>
      <c r="BB501" s="55"/>
      <c r="BC501" s="55"/>
      <c r="BD501" s="55"/>
    </row>
    <row r="502" spans="13:56" ht="14.25" customHeight="1">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c r="AQ502" s="55"/>
      <c r="AR502" s="55"/>
      <c r="AS502" s="55"/>
      <c r="AT502" s="55"/>
      <c r="AU502" s="55"/>
      <c r="AV502" s="55"/>
      <c r="AW502" s="55"/>
      <c r="AX502" s="55"/>
      <c r="AY502" s="55"/>
      <c r="AZ502" s="55"/>
      <c r="BA502" s="55"/>
      <c r="BB502" s="55"/>
      <c r="BC502" s="55"/>
      <c r="BD502" s="55"/>
    </row>
    <row r="503" spans="13:56" ht="14.25" customHeight="1">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c r="AZ503" s="55"/>
      <c r="BA503" s="55"/>
      <c r="BB503" s="55"/>
      <c r="BC503" s="55"/>
      <c r="BD503" s="55"/>
    </row>
    <row r="504" spans="13:56" ht="14.25" customHeight="1">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c r="AZ504" s="55"/>
      <c r="BA504" s="55"/>
      <c r="BB504" s="55"/>
      <c r="BC504" s="55"/>
      <c r="BD504" s="55"/>
    </row>
    <row r="505" spans="13:56" ht="14.25" customHeight="1">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c r="AZ505" s="55"/>
      <c r="BA505" s="55"/>
      <c r="BB505" s="55"/>
      <c r="BC505" s="55"/>
      <c r="BD505" s="55"/>
    </row>
    <row r="506" spans="13:56" ht="14.25" customHeight="1">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c r="AZ506" s="55"/>
      <c r="BA506" s="55"/>
      <c r="BB506" s="55"/>
      <c r="BC506" s="55"/>
      <c r="BD506" s="55"/>
    </row>
    <row r="507" spans="13:56" ht="14.25" customHeight="1">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c r="AZ507" s="55"/>
      <c r="BA507" s="55"/>
      <c r="BB507" s="55"/>
      <c r="BC507" s="55"/>
      <c r="BD507" s="55"/>
    </row>
    <row r="508" spans="13:56" ht="14.25" customHeight="1">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c r="AQ508" s="55"/>
      <c r="AR508" s="55"/>
      <c r="AS508" s="55"/>
      <c r="AT508" s="55"/>
      <c r="AU508" s="55"/>
      <c r="AV508" s="55"/>
      <c r="AW508" s="55"/>
      <c r="AX508" s="55"/>
      <c r="AY508" s="55"/>
      <c r="AZ508" s="55"/>
      <c r="BA508" s="55"/>
      <c r="BB508" s="55"/>
      <c r="BC508" s="55"/>
      <c r="BD508" s="55"/>
    </row>
    <row r="509" spans="13:56" ht="14.25" customHeight="1">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c r="AL509" s="55"/>
      <c r="AM509" s="55"/>
      <c r="AN509" s="55"/>
      <c r="AO509" s="55"/>
      <c r="AP509" s="55"/>
      <c r="AQ509" s="55"/>
      <c r="AR509" s="55"/>
      <c r="AS509" s="55"/>
      <c r="AT509" s="55"/>
      <c r="AU509" s="55"/>
      <c r="AV509" s="55"/>
      <c r="AW509" s="55"/>
      <c r="AX509" s="55"/>
      <c r="AY509" s="55"/>
      <c r="AZ509" s="55"/>
      <c r="BA509" s="55"/>
      <c r="BB509" s="55"/>
      <c r="BC509" s="55"/>
      <c r="BD509" s="55"/>
    </row>
    <row r="510" spans="13:56" ht="14.25" customHeight="1">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c r="AJ510" s="55"/>
      <c r="AK510" s="55"/>
      <c r="AL510" s="55"/>
      <c r="AM510" s="55"/>
      <c r="AN510" s="55"/>
      <c r="AO510" s="55"/>
      <c r="AP510" s="55"/>
      <c r="AQ510" s="55"/>
      <c r="AR510" s="55"/>
      <c r="AS510" s="55"/>
      <c r="AT510" s="55"/>
      <c r="AU510" s="55"/>
      <c r="AV510" s="55"/>
      <c r="AW510" s="55"/>
      <c r="AX510" s="55"/>
      <c r="AY510" s="55"/>
      <c r="AZ510" s="55"/>
      <c r="BA510" s="55"/>
      <c r="BB510" s="55"/>
      <c r="BC510" s="55"/>
      <c r="BD510" s="55"/>
    </row>
    <row r="511" spans="13:56" ht="14.25" customHeight="1">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55"/>
      <c r="AL511" s="55"/>
      <c r="AM511" s="55"/>
      <c r="AN511" s="55"/>
      <c r="AO511" s="55"/>
      <c r="AP511" s="55"/>
      <c r="AQ511" s="55"/>
      <c r="AR511" s="55"/>
      <c r="AS511" s="55"/>
      <c r="AT511" s="55"/>
      <c r="AU511" s="55"/>
      <c r="AV511" s="55"/>
      <c r="AW511" s="55"/>
      <c r="AX511" s="55"/>
      <c r="AY511" s="55"/>
      <c r="AZ511" s="55"/>
      <c r="BA511" s="55"/>
      <c r="BB511" s="55"/>
      <c r="BC511" s="55"/>
      <c r="BD511" s="55"/>
    </row>
    <row r="512" spans="13:56" ht="14.25" customHeight="1">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55"/>
      <c r="AL512" s="55"/>
      <c r="AM512" s="55"/>
      <c r="AN512" s="55"/>
      <c r="AO512" s="55"/>
      <c r="AP512" s="55"/>
      <c r="AQ512" s="55"/>
      <c r="AR512" s="55"/>
      <c r="AS512" s="55"/>
      <c r="AT512" s="55"/>
      <c r="AU512" s="55"/>
      <c r="AV512" s="55"/>
      <c r="AW512" s="55"/>
      <c r="AX512" s="55"/>
      <c r="AY512" s="55"/>
      <c r="AZ512" s="55"/>
      <c r="BA512" s="55"/>
      <c r="BB512" s="55"/>
      <c r="BC512" s="55"/>
      <c r="BD512" s="55"/>
    </row>
    <row r="513" spans="13:56" ht="14.25" customHeight="1">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c r="AJ513" s="55"/>
      <c r="AK513" s="55"/>
      <c r="AL513" s="55"/>
      <c r="AM513" s="55"/>
      <c r="AN513" s="55"/>
      <c r="AO513" s="55"/>
      <c r="AP513" s="55"/>
      <c r="AQ513" s="55"/>
      <c r="AR513" s="55"/>
      <c r="AS513" s="55"/>
      <c r="AT513" s="55"/>
      <c r="AU513" s="55"/>
      <c r="AV513" s="55"/>
      <c r="AW513" s="55"/>
      <c r="AX513" s="55"/>
      <c r="AY513" s="55"/>
      <c r="AZ513" s="55"/>
      <c r="BA513" s="55"/>
      <c r="BB513" s="55"/>
      <c r="BC513" s="55"/>
      <c r="BD513" s="55"/>
    </row>
    <row r="514" spans="13:56" ht="14.25" customHeight="1">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55"/>
      <c r="AL514" s="55"/>
      <c r="AM514" s="55"/>
      <c r="AN514" s="55"/>
      <c r="AO514" s="55"/>
      <c r="AP514" s="55"/>
      <c r="AQ514" s="55"/>
      <c r="AR514" s="55"/>
      <c r="AS514" s="55"/>
      <c r="AT514" s="55"/>
      <c r="AU514" s="55"/>
      <c r="AV514" s="55"/>
      <c r="AW514" s="55"/>
      <c r="AX514" s="55"/>
      <c r="AY514" s="55"/>
      <c r="AZ514" s="55"/>
      <c r="BA514" s="55"/>
      <c r="BB514" s="55"/>
      <c r="BC514" s="55"/>
      <c r="BD514" s="55"/>
    </row>
    <row r="515" spans="13:56" ht="14.25" customHeight="1">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c r="AQ515" s="55"/>
      <c r="AR515" s="55"/>
      <c r="AS515" s="55"/>
      <c r="AT515" s="55"/>
      <c r="AU515" s="55"/>
      <c r="AV515" s="55"/>
      <c r="AW515" s="55"/>
      <c r="AX515" s="55"/>
      <c r="AY515" s="55"/>
      <c r="AZ515" s="55"/>
      <c r="BA515" s="55"/>
      <c r="BB515" s="55"/>
      <c r="BC515" s="55"/>
      <c r="BD515" s="55"/>
    </row>
    <row r="516" spans="13:56" ht="14.25" customHeight="1">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c r="AJ516" s="55"/>
      <c r="AK516" s="55"/>
      <c r="AL516" s="55"/>
      <c r="AM516" s="55"/>
      <c r="AN516" s="55"/>
      <c r="AO516" s="55"/>
      <c r="AP516" s="55"/>
      <c r="AQ516" s="55"/>
      <c r="AR516" s="55"/>
      <c r="AS516" s="55"/>
      <c r="AT516" s="55"/>
      <c r="AU516" s="55"/>
      <c r="AV516" s="55"/>
      <c r="AW516" s="55"/>
      <c r="AX516" s="55"/>
      <c r="AY516" s="55"/>
      <c r="AZ516" s="55"/>
      <c r="BA516" s="55"/>
      <c r="BB516" s="55"/>
      <c r="BC516" s="55"/>
      <c r="BD516" s="55"/>
    </row>
    <row r="517" spans="13:56" ht="14.25" customHeight="1">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c r="AL517" s="55"/>
      <c r="AM517" s="55"/>
      <c r="AN517" s="55"/>
      <c r="AO517" s="55"/>
      <c r="AP517" s="55"/>
      <c r="AQ517" s="55"/>
      <c r="AR517" s="55"/>
      <c r="AS517" s="55"/>
      <c r="AT517" s="55"/>
      <c r="AU517" s="55"/>
      <c r="AV517" s="55"/>
      <c r="AW517" s="55"/>
      <c r="AX517" s="55"/>
      <c r="AY517" s="55"/>
      <c r="AZ517" s="55"/>
      <c r="BA517" s="55"/>
      <c r="BB517" s="55"/>
      <c r="BC517" s="55"/>
      <c r="BD517" s="55"/>
    </row>
    <row r="518" spans="13:56" ht="14.25" customHeight="1">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55"/>
      <c r="AL518" s="55"/>
      <c r="AM518" s="55"/>
      <c r="AN518" s="55"/>
      <c r="AO518" s="55"/>
      <c r="AP518" s="55"/>
      <c r="AQ518" s="55"/>
      <c r="AR518" s="55"/>
      <c r="AS518" s="55"/>
      <c r="AT518" s="55"/>
      <c r="AU518" s="55"/>
      <c r="AV518" s="55"/>
      <c r="AW518" s="55"/>
      <c r="AX518" s="55"/>
      <c r="AY518" s="55"/>
      <c r="AZ518" s="55"/>
      <c r="BA518" s="55"/>
      <c r="BB518" s="55"/>
      <c r="BC518" s="55"/>
      <c r="BD518" s="55"/>
    </row>
    <row r="519" spans="13:56" ht="14.25" customHeight="1">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c r="AJ519" s="55"/>
      <c r="AK519" s="55"/>
      <c r="AL519" s="55"/>
      <c r="AM519" s="55"/>
      <c r="AN519" s="55"/>
      <c r="AO519" s="55"/>
      <c r="AP519" s="55"/>
      <c r="AQ519" s="55"/>
      <c r="AR519" s="55"/>
      <c r="AS519" s="55"/>
      <c r="AT519" s="55"/>
      <c r="AU519" s="55"/>
      <c r="AV519" s="55"/>
      <c r="AW519" s="55"/>
      <c r="AX519" s="55"/>
      <c r="AY519" s="55"/>
      <c r="AZ519" s="55"/>
      <c r="BA519" s="55"/>
      <c r="BB519" s="55"/>
      <c r="BC519" s="55"/>
      <c r="BD519" s="55"/>
    </row>
    <row r="520" spans="13:56" ht="14.25" customHeight="1">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c r="AL520" s="55"/>
      <c r="AM520" s="55"/>
      <c r="AN520" s="55"/>
      <c r="AO520" s="55"/>
      <c r="AP520" s="55"/>
      <c r="AQ520" s="55"/>
      <c r="AR520" s="55"/>
      <c r="AS520" s="55"/>
      <c r="AT520" s="55"/>
      <c r="AU520" s="55"/>
      <c r="AV520" s="55"/>
      <c r="AW520" s="55"/>
      <c r="AX520" s="55"/>
      <c r="AY520" s="55"/>
      <c r="AZ520" s="55"/>
      <c r="BA520" s="55"/>
      <c r="BB520" s="55"/>
      <c r="BC520" s="55"/>
      <c r="BD520" s="55"/>
    </row>
    <row r="521" spans="13:56" ht="14.25" customHeight="1">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c r="AL521" s="55"/>
      <c r="AM521" s="55"/>
      <c r="AN521" s="55"/>
      <c r="AO521" s="55"/>
      <c r="AP521" s="55"/>
      <c r="AQ521" s="55"/>
      <c r="AR521" s="55"/>
      <c r="AS521" s="55"/>
      <c r="AT521" s="55"/>
      <c r="AU521" s="55"/>
      <c r="AV521" s="55"/>
      <c r="AW521" s="55"/>
      <c r="AX521" s="55"/>
      <c r="AY521" s="55"/>
      <c r="AZ521" s="55"/>
      <c r="BA521" s="55"/>
      <c r="BB521" s="55"/>
      <c r="BC521" s="55"/>
      <c r="BD521" s="55"/>
    </row>
    <row r="522" spans="13:56" ht="14.25" customHeight="1">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c r="AZ522" s="55"/>
      <c r="BA522" s="55"/>
      <c r="BB522" s="55"/>
      <c r="BC522" s="55"/>
      <c r="BD522" s="55"/>
    </row>
    <row r="523" spans="13:56" ht="14.25" customHeight="1">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c r="AZ523" s="55"/>
      <c r="BA523" s="55"/>
      <c r="BB523" s="55"/>
      <c r="BC523" s="55"/>
      <c r="BD523" s="55"/>
    </row>
    <row r="524" spans="13:56" ht="14.25" customHeight="1">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c r="AZ524" s="55"/>
      <c r="BA524" s="55"/>
      <c r="BB524" s="55"/>
      <c r="BC524" s="55"/>
      <c r="BD524" s="55"/>
    </row>
    <row r="525" spans="13:56" ht="14.25" customHeight="1">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c r="AZ525" s="55"/>
      <c r="BA525" s="55"/>
      <c r="BB525" s="55"/>
      <c r="BC525" s="55"/>
      <c r="BD525" s="55"/>
    </row>
    <row r="526" spans="13:56" ht="14.25" customHeight="1">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c r="AZ526" s="55"/>
      <c r="BA526" s="55"/>
      <c r="BB526" s="55"/>
      <c r="BC526" s="55"/>
      <c r="BD526" s="55"/>
    </row>
    <row r="527" spans="13:56" ht="14.25" customHeight="1">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c r="AZ527" s="55"/>
      <c r="BA527" s="55"/>
      <c r="BB527" s="55"/>
      <c r="BC527" s="55"/>
      <c r="BD527" s="55"/>
    </row>
    <row r="528" spans="13:56" ht="14.25" customHeight="1">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c r="AZ528" s="55"/>
      <c r="BA528" s="55"/>
      <c r="BB528" s="55"/>
      <c r="BC528" s="55"/>
      <c r="BD528" s="55"/>
    </row>
    <row r="529" spans="13:56" ht="14.25" customHeight="1">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c r="AQ529" s="55"/>
      <c r="AR529" s="55"/>
      <c r="AS529" s="55"/>
      <c r="AT529" s="55"/>
      <c r="AU529" s="55"/>
      <c r="AV529" s="55"/>
      <c r="AW529" s="55"/>
      <c r="AX529" s="55"/>
      <c r="AY529" s="55"/>
      <c r="AZ529" s="55"/>
      <c r="BA529" s="55"/>
      <c r="BB529" s="55"/>
      <c r="BC529" s="55"/>
      <c r="BD529" s="55"/>
    </row>
    <row r="530" spans="13:56" ht="14.25" customHeight="1">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c r="AQ530" s="55"/>
      <c r="AR530" s="55"/>
      <c r="AS530" s="55"/>
      <c r="AT530" s="55"/>
      <c r="AU530" s="55"/>
      <c r="AV530" s="55"/>
      <c r="AW530" s="55"/>
      <c r="AX530" s="55"/>
      <c r="AY530" s="55"/>
      <c r="AZ530" s="55"/>
      <c r="BA530" s="55"/>
      <c r="BB530" s="55"/>
      <c r="BC530" s="55"/>
      <c r="BD530" s="55"/>
    </row>
    <row r="531" spans="13:56" ht="14.25" customHeight="1">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c r="AQ531" s="55"/>
      <c r="AR531" s="55"/>
      <c r="AS531" s="55"/>
      <c r="AT531" s="55"/>
      <c r="AU531" s="55"/>
      <c r="AV531" s="55"/>
      <c r="AW531" s="55"/>
      <c r="AX531" s="55"/>
      <c r="AY531" s="55"/>
      <c r="AZ531" s="55"/>
      <c r="BA531" s="55"/>
      <c r="BB531" s="55"/>
      <c r="BC531" s="55"/>
      <c r="BD531" s="55"/>
    </row>
    <row r="532" spans="13:56" ht="14.25" customHeight="1">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c r="AQ532" s="55"/>
      <c r="AR532" s="55"/>
      <c r="AS532" s="55"/>
      <c r="AT532" s="55"/>
      <c r="AU532" s="55"/>
      <c r="AV532" s="55"/>
      <c r="AW532" s="55"/>
      <c r="AX532" s="55"/>
      <c r="AY532" s="55"/>
      <c r="AZ532" s="55"/>
      <c r="BA532" s="55"/>
      <c r="BB532" s="55"/>
      <c r="BC532" s="55"/>
      <c r="BD532" s="55"/>
    </row>
    <row r="533" spans="13:56" ht="14.25" customHeight="1">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c r="AQ533" s="55"/>
      <c r="AR533" s="55"/>
      <c r="AS533" s="55"/>
      <c r="AT533" s="55"/>
      <c r="AU533" s="55"/>
      <c r="AV533" s="55"/>
      <c r="AW533" s="55"/>
      <c r="AX533" s="55"/>
      <c r="AY533" s="55"/>
      <c r="AZ533" s="55"/>
      <c r="BA533" s="55"/>
      <c r="BB533" s="55"/>
      <c r="BC533" s="55"/>
      <c r="BD533" s="55"/>
    </row>
    <row r="534" spans="13:56" ht="14.25" customHeight="1">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c r="AJ534" s="55"/>
      <c r="AK534" s="55"/>
      <c r="AL534" s="55"/>
      <c r="AM534" s="55"/>
      <c r="AN534" s="55"/>
      <c r="AO534" s="55"/>
      <c r="AP534" s="55"/>
      <c r="AQ534" s="55"/>
      <c r="AR534" s="55"/>
      <c r="AS534" s="55"/>
      <c r="AT534" s="55"/>
      <c r="AU534" s="55"/>
      <c r="AV534" s="55"/>
      <c r="AW534" s="55"/>
      <c r="AX534" s="55"/>
      <c r="AY534" s="55"/>
      <c r="AZ534" s="55"/>
      <c r="BA534" s="55"/>
      <c r="BB534" s="55"/>
      <c r="BC534" s="55"/>
      <c r="BD534" s="55"/>
    </row>
    <row r="535" spans="13:56" ht="14.25" customHeight="1">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c r="AJ535" s="55"/>
      <c r="AK535" s="55"/>
      <c r="AL535" s="55"/>
      <c r="AM535" s="55"/>
      <c r="AN535" s="55"/>
      <c r="AO535" s="55"/>
      <c r="AP535" s="55"/>
      <c r="AQ535" s="55"/>
      <c r="AR535" s="55"/>
      <c r="AS535" s="55"/>
      <c r="AT535" s="55"/>
      <c r="AU535" s="55"/>
      <c r="AV535" s="55"/>
      <c r="AW535" s="55"/>
      <c r="AX535" s="55"/>
      <c r="AY535" s="55"/>
      <c r="AZ535" s="55"/>
      <c r="BA535" s="55"/>
      <c r="BB535" s="55"/>
      <c r="BC535" s="55"/>
      <c r="BD535" s="55"/>
    </row>
    <row r="536" spans="13:56" ht="14.25" customHeight="1">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c r="AJ536" s="55"/>
      <c r="AK536" s="55"/>
      <c r="AL536" s="55"/>
      <c r="AM536" s="55"/>
      <c r="AN536" s="55"/>
      <c r="AO536" s="55"/>
      <c r="AP536" s="55"/>
      <c r="AQ536" s="55"/>
      <c r="AR536" s="55"/>
      <c r="AS536" s="55"/>
      <c r="AT536" s="55"/>
      <c r="AU536" s="55"/>
      <c r="AV536" s="55"/>
      <c r="AW536" s="55"/>
      <c r="AX536" s="55"/>
      <c r="AY536" s="55"/>
      <c r="AZ536" s="55"/>
      <c r="BA536" s="55"/>
      <c r="BB536" s="55"/>
      <c r="BC536" s="55"/>
      <c r="BD536" s="55"/>
    </row>
    <row r="537" spans="13:56" ht="14.25" customHeight="1">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55"/>
      <c r="AL537" s="55"/>
      <c r="AM537" s="55"/>
      <c r="AN537" s="55"/>
      <c r="AO537" s="55"/>
      <c r="AP537" s="55"/>
      <c r="AQ537" s="55"/>
      <c r="AR537" s="55"/>
      <c r="AS537" s="55"/>
      <c r="AT537" s="55"/>
      <c r="AU537" s="55"/>
      <c r="AV537" s="55"/>
      <c r="AW537" s="55"/>
      <c r="AX537" s="55"/>
      <c r="AY537" s="55"/>
      <c r="AZ537" s="55"/>
      <c r="BA537" s="55"/>
      <c r="BB537" s="55"/>
      <c r="BC537" s="55"/>
      <c r="BD537" s="55"/>
    </row>
    <row r="538" spans="13:56" ht="14.25" customHeight="1">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55"/>
      <c r="AL538" s="55"/>
      <c r="AM538" s="55"/>
      <c r="AN538" s="55"/>
      <c r="AO538" s="55"/>
      <c r="AP538" s="55"/>
      <c r="AQ538" s="55"/>
      <c r="AR538" s="55"/>
      <c r="AS538" s="55"/>
      <c r="AT538" s="55"/>
      <c r="AU538" s="55"/>
      <c r="AV538" s="55"/>
      <c r="AW538" s="55"/>
      <c r="AX538" s="55"/>
      <c r="AY538" s="55"/>
      <c r="AZ538" s="55"/>
      <c r="BA538" s="55"/>
      <c r="BB538" s="55"/>
      <c r="BC538" s="55"/>
      <c r="BD538" s="55"/>
    </row>
    <row r="539" spans="13:56" ht="14.25" customHeight="1">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55"/>
      <c r="AL539" s="55"/>
      <c r="AM539" s="55"/>
      <c r="AN539" s="55"/>
      <c r="AO539" s="55"/>
      <c r="AP539" s="55"/>
      <c r="AQ539" s="55"/>
      <c r="AR539" s="55"/>
      <c r="AS539" s="55"/>
      <c r="AT539" s="55"/>
      <c r="AU539" s="55"/>
      <c r="AV539" s="55"/>
      <c r="AW539" s="55"/>
      <c r="AX539" s="55"/>
      <c r="AY539" s="55"/>
      <c r="AZ539" s="55"/>
      <c r="BA539" s="55"/>
      <c r="BB539" s="55"/>
      <c r="BC539" s="55"/>
      <c r="BD539" s="55"/>
    </row>
    <row r="540" spans="13:56" ht="14.25" customHeight="1">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55"/>
      <c r="AL540" s="55"/>
      <c r="AM540" s="55"/>
      <c r="AN540" s="55"/>
      <c r="AO540" s="55"/>
      <c r="AP540" s="55"/>
      <c r="AQ540" s="55"/>
      <c r="AR540" s="55"/>
      <c r="AS540" s="55"/>
      <c r="AT540" s="55"/>
      <c r="AU540" s="55"/>
      <c r="AV540" s="55"/>
      <c r="AW540" s="55"/>
      <c r="AX540" s="55"/>
      <c r="AY540" s="55"/>
      <c r="AZ540" s="55"/>
      <c r="BA540" s="55"/>
      <c r="BB540" s="55"/>
      <c r="BC540" s="55"/>
      <c r="BD540" s="55"/>
    </row>
    <row r="541" spans="13:56" ht="14.25" customHeight="1">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c r="AL541" s="55"/>
      <c r="AM541" s="55"/>
      <c r="AN541" s="55"/>
      <c r="AO541" s="55"/>
      <c r="AP541" s="55"/>
      <c r="AQ541" s="55"/>
      <c r="AR541" s="55"/>
      <c r="AS541" s="55"/>
      <c r="AT541" s="55"/>
      <c r="AU541" s="55"/>
      <c r="AV541" s="55"/>
      <c r="AW541" s="55"/>
      <c r="AX541" s="55"/>
      <c r="AY541" s="55"/>
      <c r="AZ541" s="55"/>
      <c r="BA541" s="55"/>
      <c r="BB541" s="55"/>
      <c r="BC541" s="55"/>
      <c r="BD541" s="55"/>
    </row>
    <row r="542" spans="13:56" ht="14.25" customHeight="1">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c r="AL542" s="55"/>
      <c r="AM542" s="55"/>
      <c r="AN542" s="55"/>
      <c r="AO542" s="55"/>
      <c r="AP542" s="55"/>
      <c r="AQ542" s="55"/>
      <c r="AR542" s="55"/>
      <c r="AS542" s="55"/>
      <c r="AT542" s="55"/>
      <c r="AU542" s="55"/>
      <c r="AV542" s="55"/>
      <c r="AW542" s="55"/>
      <c r="AX542" s="55"/>
      <c r="AY542" s="55"/>
      <c r="AZ542" s="55"/>
      <c r="BA542" s="55"/>
      <c r="BB542" s="55"/>
      <c r="BC542" s="55"/>
      <c r="BD542" s="55"/>
    </row>
    <row r="543" spans="13:56" ht="14.25" customHeight="1">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c r="AL543" s="55"/>
      <c r="AM543" s="55"/>
      <c r="AN543" s="55"/>
      <c r="AO543" s="55"/>
      <c r="AP543" s="55"/>
      <c r="AQ543" s="55"/>
      <c r="AR543" s="55"/>
      <c r="AS543" s="55"/>
      <c r="AT543" s="55"/>
      <c r="AU543" s="55"/>
      <c r="AV543" s="55"/>
      <c r="AW543" s="55"/>
      <c r="AX543" s="55"/>
      <c r="AY543" s="55"/>
      <c r="AZ543" s="55"/>
      <c r="BA543" s="55"/>
      <c r="BB543" s="55"/>
      <c r="BC543" s="55"/>
      <c r="BD543" s="55"/>
    </row>
    <row r="544" spans="13:56" ht="14.25" customHeight="1">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c r="AL544" s="55"/>
      <c r="AM544" s="55"/>
      <c r="AN544" s="55"/>
      <c r="AO544" s="55"/>
      <c r="AP544" s="55"/>
      <c r="AQ544" s="55"/>
      <c r="AR544" s="55"/>
      <c r="AS544" s="55"/>
      <c r="AT544" s="55"/>
      <c r="AU544" s="55"/>
      <c r="AV544" s="55"/>
      <c r="AW544" s="55"/>
      <c r="AX544" s="55"/>
      <c r="AY544" s="55"/>
      <c r="AZ544" s="55"/>
      <c r="BA544" s="55"/>
      <c r="BB544" s="55"/>
      <c r="BC544" s="55"/>
      <c r="BD544" s="55"/>
    </row>
    <row r="545" spans="13:56" ht="14.25" customHeight="1">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c r="AL545" s="55"/>
      <c r="AM545" s="55"/>
      <c r="AN545" s="55"/>
      <c r="AO545" s="55"/>
      <c r="AP545" s="55"/>
      <c r="AQ545" s="55"/>
      <c r="AR545" s="55"/>
      <c r="AS545" s="55"/>
      <c r="AT545" s="55"/>
      <c r="AU545" s="55"/>
      <c r="AV545" s="55"/>
      <c r="AW545" s="55"/>
      <c r="AX545" s="55"/>
      <c r="AY545" s="55"/>
      <c r="AZ545" s="55"/>
      <c r="BA545" s="55"/>
      <c r="BB545" s="55"/>
      <c r="BC545" s="55"/>
      <c r="BD545" s="55"/>
    </row>
    <row r="546" spans="13:56" ht="14.25" customHeight="1">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c r="AL546" s="55"/>
      <c r="AM546" s="55"/>
      <c r="AN546" s="55"/>
      <c r="AO546" s="55"/>
      <c r="AP546" s="55"/>
      <c r="AQ546" s="55"/>
      <c r="AR546" s="55"/>
      <c r="AS546" s="55"/>
      <c r="AT546" s="55"/>
      <c r="AU546" s="55"/>
      <c r="AV546" s="55"/>
      <c r="AW546" s="55"/>
      <c r="AX546" s="55"/>
      <c r="AY546" s="55"/>
      <c r="AZ546" s="55"/>
      <c r="BA546" s="55"/>
      <c r="BB546" s="55"/>
      <c r="BC546" s="55"/>
      <c r="BD546" s="55"/>
    </row>
    <row r="547" spans="13:56" ht="14.25" customHeight="1">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c r="AZ547" s="55"/>
      <c r="BA547" s="55"/>
      <c r="BB547" s="55"/>
      <c r="BC547" s="55"/>
      <c r="BD547" s="55"/>
    </row>
    <row r="548" spans="13:56" ht="14.25" customHeight="1">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c r="AQ548" s="55"/>
      <c r="AR548" s="55"/>
      <c r="AS548" s="55"/>
      <c r="AT548" s="55"/>
      <c r="AU548" s="55"/>
      <c r="AV548" s="55"/>
      <c r="AW548" s="55"/>
      <c r="AX548" s="55"/>
      <c r="AY548" s="55"/>
      <c r="AZ548" s="55"/>
      <c r="BA548" s="55"/>
      <c r="BB548" s="55"/>
      <c r="BC548" s="55"/>
      <c r="BD548" s="55"/>
    </row>
    <row r="549" spans="13:56" ht="14.25" customHeight="1">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c r="AQ549" s="55"/>
      <c r="AR549" s="55"/>
      <c r="AS549" s="55"/>
      <c r="AT549" s="55"/>
      <c r="AU549" s="55"/>
      <c r="AV549" s="55"/>
      <c r="AW549" s="55"/>
      <c r="AX549" s="55"/>
      <c r="AY549" s="55"/>
      <c r="AZ549" s="55"/>
      <c r="BA549" s="55"/>
      <c r="BB549" s="55"/>
      <c r="BC549" s="55"/>
      <c r="BD549" s="55"/>
    </row>
    <row r="550" spans="13:56" ht="14.25" customHeight="1">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c r="AQ550" s="55"/>
      <c r="AR550" s="55"/>
      <c r="AS550" s="55"/>
      <c r="AT550" s="55"/>
      <c r="AU550" s="55"/>
      <c r="AV550" s="55"/>
      <c r="AW550" s="55"/>
      <c r="AX550" s="55"/>
      <c r="AY550" s="55"/>
      <c r="AZ550" s="55"/>
      <c r="BA550" s="55"/>
      <c r="BB550" s="55"/>
      <c r="BC550" s="55"/>
      <c r="BD550" s="55"/>
    </row>
    <row r="551" spans="13:56" ht="14.25" customHeight="1">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c r="AQ551" s="55"/>
      <c r="AR551" s="55"/>
      <c r="AS551" s="55"/>
      <c r="AT551" s="55"/>
      <c r="AU551" s="55"/>
      <c r="AV551" s="55"/>
      <c r="AW551" s="55"/>
      <c r="AX551" s="55"/>
      <c r="AY551" s="55"/>
      <c r="AZ551" s="55"/>
      <c r="BA551" s="55"/>
      <c r="BB551" s="55"/>
      <c r="BC551" s="55"/>
      <c r="BD551" s="55"/>
    </row>
    <row r="552" spans="13:56" ht="14.25" customHeight="1">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c r="AQ552" s="55"/>
      <c r="AR552" s="55"/>
      <c r="AS552" s="55"/>
      <c r="AT552" s="55"/>
      <c r="AU552" s="55"/>
      <c r="AV552" s="55"/>
      <c r="AW552" s="55"/>
      <c r="AX552" s="55"/>
      <c r="AY552" s="55"/>
      <c r="AZ552" s="55"/>
      <c r="BA552" s="55"/>
      <c r="BB552" s="55"/>
      <c r="BC552" s="55"/>
      <c r="BD552" s="55"/>
    </row>
    <row r="553" spans="13:56" ht="14.25" customHeight="1">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c r="AQ553" s="55"/>
      <c r="AR553" s="55"/>
      <c r="AS553" s="55"/>
      <c r="AT553" s="55"/>
      <c r="AU553" s="55"/>
      <c r="AV553" s="55"/>
      <c r="AW553" s="55"/>
      <c r="AX553" s="55"/>
      <c r="AY553" s="55"/>
      <c r="AZ553" s="55"/>
      <c r="BA553" s="55"/>
      <c r="BB553" s="55"/>
      <c r="BC553" s="55"/>
      <c r="BD553" s="55"/>
    </row>
    <row r="554" spans="13:56" ht="14.25" customHeight="1">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c r="AJ554" s="55"/>
      <c r="AK554" s="55"/>
      <c r="AL554" s="55"/>
      <c r="AM554" s="55"/>
      <c r="AN554" s="55"/>
      <c r="AO554" s="55"/>
      <c r="AP554" s="55"/>
      <c r="AQ554" s="55"/>
      <c r="AR554" s="55"/>
      <c r="AS554" s="55"/>
      <c r="AT554" s="55"/>
      <c r="AU554" s="55"/>
      <c r="AV554" s="55"/>
      <c r="AW554" s="55"/>
      <c r="AX554" s="55"/>
      <c r="AY554" s="55"/>
      <c r="AZ554" s="55"/>
      <c r="BA554" s="55"/>
      <c r="BB554" s="55"/>
      <c r="BC554" s="55"/>
      <c r="BD554" s="55"/>
    </row>
    <row r="555" spans="13:56" ht="14.25" customHeight="1">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c r="AJ555" s="55"/>
      <c r="AK555" s="55"/>
      <c r="AL555" s="55"/>
      <c r="AM555" s="55"/>
      <c r="AN555" s="55"/>
      <c r="AO555" s="55"/>
      <c r="AP555" s="55"/>
      <c r="AQ555" s="55"/>
      <c r="AR555" s="55"/>
      <c r="AS555" s="55"/>
      <c r="AT555" s="55"/>
      <c r="AU555" s="55"/>
      <c r="AV555" s="55"/>
      <c r="AW555" s="55"/>
      <c r="AX555" s="55"/>
      <c r="AY555" s="55"/>
      <c r="AZ555" s="55"/>
      <c r="BA555" s="55"/>
      <c r="BB555" s="55"/>
      <c r="BC555" s="55"/>
      <c r="BD555" s="55"/>
    </row>
    <row r="556" spans="13:56" ht="14.25" customHeight="1">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c r="AJ556" s="55"/>
      <c r="AK556" s="55"/>
      <c r="AL556" s="55"/>
      <c r="AM556" s="55"/>
      <c r="AN556" s="55"/>
      <c r="AO556" s="55"/>
      <c r="AP556" s="55"/>
      <c r="AQ556" s="55"/>
      <c r="AR556" s="55"/>
      <c r="AS556" s="55"/>
      <c r="AT556" s="55"/>
      <c r="AU556" s="55"/>
      <c r="AV556" s="55"/>
      <c r="AW556" s="55"/>
      <c r="AX556" s="55"/>
      <c r="AY556" s="55"/>
      <c r="AZ556" s="55"/>
      <c r="BA556" s="55"/>
      <c r="BB556" s="55"/>
      <c r="BC556" s="55"/>
      <c r="BD556" s="55"/>
    </row>
    <row r="557" spans="13:56" ht="14.25" customHeight="1">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c r="AJ557" s="55"/>
      <c r="AK557" s="55"/>
      <c r="AL557" s="55"/>
      <c r="AM557" s="55"/>
      <c r="AN557" s="55"/>
      <c r="AO557" s="55"/>
      <c r="AP557" s="55"/>
      <c r="AQ557" s="55"/>
      <c r="AR557" s="55"/>
      <c r="AS557" s="55"/>
      <c r="AT557" s="55"/>
      <c r="AU557" s="55"/>
      <c r="AV557" s="55"/>
      <c r="AW557" s="55"/>
      <c r="AX557" s="55"/>
      <c r="AY557" s="55"/>
      <c r="AZ557" s="55"/>
      <c r="BA557" s="55"/>
      <c r="BB557" s="55"/>
      <c r="BC557" s="55"/>
      <c r="BD557" s="55"/>
    </row>
    <row r="558" spans="13:56" ht="14.25" customHeight="1">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c r="AJ558" s="55"/>
      <c r="AK558" s="55"/>
      <c r="AL558" s="55"/>
      <c r="AM558" s="55"/>
      <c r="AN558" s="55"/>
      <c r="AO558" s="55"/>
      <c r="AP558" s="55"/>
      <c r="AQ558" s="55"/>
      <c r="AR558" s="55"/>
      <c r="AS558" s="55"/>
      <c r="AT558" s="55"/>
      <c r="AU558" s="55"/>
      <c r="AV558" s="55"/>
      <c r="AW558" s="55"/>
      <c r="AX558" s="55"/>
      <c r="AY558" s="55"/>
      <c r="AZ558" s="55"/>
      <c r="BA558" s="55"/>
      <c r="BB558" s="55"/>
      <c r="BC558" s="55"/>
      <c r="BD558" s="55"/>
    </row>
    <row r="559" spans="13:56" ht="14.25" customHeight="1">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c r="AJ559" s="55"/>
      <c r="AK559" s="55"/>
      <c r="AL559" s="55"/>
      <c r="AM559" s="55"/>
      <c r="AN559" s="55"/>
      <c r="AO559" s="55"/>
      <c r="AP559" s="55"/>
      <c r="AQ559" s="55"/>
      <c r="AR559" s="55"/>
      <c r="AS559" s="55"/>
      <c r="AT559" s="55"/>
      <c r="AU559" s="55"/>
      <c r="AV559" s="55"/>
      <c r="AW559" s="55"/>
      <c r="AX559" s="55"/>
      <c r="AY559" s="55"/>
      <c r="AZ559" s="55"/>
      <c r="BA559" s="55"/>
      <c r="BB559" s="55"/>
      <c r="BC559" s="55"/>
      <c r="BD559" s="55"/>
    </row>
    <row r="560" spans="13:56" ht="14.25" customHeight="1">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c r="AJ560" s="55"/>
      <c r="AK560" s="55"/>
      <c r="AL560" s="55"/>
      <c r="AM560" s="55"/>
      <c r="AN560" s="55"/>
      <c r="AO560" s="55"/>
      <c r="AP560" s="55"/>
      <c r="AQ560" s="55"/>
      <c r="AR560" s="55"/>
      <c r="AS560" s="55"/>
      <c r="AT560" s="55"/>
      <c r="AU560" s="55"/>
      <c r="AV560" s="55"/>
      <c r="AW560" s="55"/>
      <c r="AX560" s="55"/>
      <c r="AY560" s="55"/>
      <c r="AZ560" s="55"/>
      <c r="BA560" s="55"/>
      <c r="BB560" s="55"/>
      <c r="BC560" s="55"/>
      <c r="BD560" s="55"/>
    </row>
    <row r="561" spans="13:56" ht="14.25" customHeight="1">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c r="AJ561" s="55"/>
      <c r="AK561" s="55"/>
      <c r="AL561" s="55"/>
      <c r="AM561" s="55"/>
      <c r="AN561" s="55"/>
      <c r="AO561" s="55"/>
      <c r="AP561" s="55"/>
      <c r="AQ561" s="55"/>
      <c r="AR561" s="55"/>
      <c r="AS561" s="55"/>
      <c r="AT561" s="55"/>
      <c r="AU561" s="55"/>
      <c r="AV561" s="55"/>
      <c r="AW561" s="55"/>
      <c r="AX561" s="55"/>
      <c r="AY561" s="55"/>
      <c r="AZ561" s="55"/>
      <c r="BA561" s="55"/>
      <c r="BB561" s="55"/>
      <c r="BC561" s="55"/>
      <c r="BD561" s="55"/>
    </row>
    <row r="562" spans="13:56" ht="14.25" customHeight="1">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c r="AJ562" s="55"/>
      <c r="AK562" s="55"/>
      <c r="AL562" s="55"/>
      <c r="AM562" s="55"/>
      <c r="AN562" s="55"/>
      <c r="AO562" s="55"/>
      <c r="AP562" s="55"/>
      <c r="AQ562" s="55"/>
      <c r="AR562" s="55"/>
      <c r="AS562" s="55"/>
      <c r="AT562" s="55"/>
      <c r="AU562" s="55"/>
      <c r="AV562" s="55"/>
      <c r="AW562" s="55"/>
      <c r="AX562" s="55"/>
      <c r="AY562" s="55"/>
      <c r="AZ562" s="55"/>
      <c r="BA562" s="55"/>
      <c r="BB562" s="55"/>
      <c r="BC562" s="55"/>
      <c r="BD562" s="55"/>
    </row>
    <row r="563" spans="13:56" ht="14.25" customHeight="1">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c r="AJ563" s="55"/>
      <c r="AK563" s="55"/>
      <c r="AL563" s="55"/>
      <c r="AM563" s="55"/>
      <c r="AN563" s="55"/>
      <c r="AO563" s="55"/>
      <c r="AP563" s="55"/>
      <c r="AQ563" s="55"/>
      <c r="AR563" s="55"/>
      <c r="AS563" s="55"/>
      <c r="AT563" s="55"/>
      <c r="AU563" s="55"/>
      <c r="AV563" s="55"/>
      <c r="AW563" s="55"/>
      <c r="AX563" s="55"/>
      <c r="AY563" s="55"/>
      <c r="AZ563" s="55"/>
      <c r="BA563" s="55"/>
      <c r="BB563" s="55"/>
      <c r="BC563" s="55"/>
      <c r="BD563" s="55"/>
    </row>
    <row r="564" spans="13:56" ht="14.25" customHeight="1">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c r="AJ564" s="55"/>
      <c r="AK564" s="55"/>
      <c r="AL564" s="55"/>
      <c r="AM564" s="55"/>
      <c r="AN564" s="55"/>
      <c r="AO564" s="55"/>
      <c r="AP564" s="55"/>
      <c r="AQ564" s="55"/>
      <c r="AR564" s="55"/>
      <c r="AS564" s="55"/>
      <c r="AT564" s="55"/>
      <c r="AU564" s="55"/>
      <c r="AV564" s="55"/>
      <c r="AW564" s="55"/>
      <c r="AX564" s="55"/>
      <c r="AY564" s="55"/>
      <c r="AZ564" s="55"/>
      <c r="BA564" s="55"/>
      <c r="BB564" s="55"/>
      <c r="BC564" s="55"/>
      <c r="BD564" s="55"/>
    </row>
    <row r="565" spans="13:56" ht="14.25" customHeight="1">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c r="AJ565" s="55"/>
      <c r="AK565" s="55"/>
      <c r="AL565" s="55"/>
      <c r="AM565" s="55"/>
      <c r="AN565" s="55"/>
      <c r="AO565" s="55"/>
      <c r="AP565" s="55"/>
      <c r="AQ565" s="55"/>
      <c r="AR565" s="55"/>
      <c r="AS565" s="55"/>
      <c r="AT565" s="55"/>
      <c r="AU565" s="55"/>
      <c r="AV565" s="55"/>
      <c r="AW565" s="55"/>
      <c r="AX565" s="55"/>
      <c r="AY565" s="55"/>
      <c r="AZ565" s="55"/>
      <c r="BA565" s="55"/>
      <c r="BB565" s="55"/>
      <c r="BC565" s="55"/>
      <c r="BD565" s="55"/>
    </row>
    <row r="566" spans="13:56" ht="14.25" customHeight="1">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c r="AJ566" s="55"/>
      <c r="AK566" s="55"/>
      <c r="AL566" s="55"/>
      <c r="AM566" s="55"/>
      <c r="AN566" s="55"/>
      <c r="AO566" s="55"/>
      <c r="AP566" s="55"/>
      <c r="AQ566" s="55"/>
      <c r="AR566" s="55"/>
      <c r="AS566" s="55"/>
      <c r="AT566" s="55"/>
      <c r="AU566" s="55"/>
      <c r="AV566" s="55"/>
      <c r="AW566" s="55"/>
      <c r="AX566" s="55"/>
      <c r="AY566" s="55"/>
      <c r="AZ566" s="55"/>
      <c r="BA566" s="55"/>
      <c r="BB566" s="55"/>
      <c r="BC566" s="55"/>
      <c r="BD566" s="55"/>
    </row>
    <row r="567" spans="13:56" ht="14.25" customHeight="1">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c r="AJ567" s="55"/>
      <c r="AK567" s="55"/>
      <c r="AL567" s="55"/>
      <c r="AM567" s="55"/>
      <c r="AN567" s="55"/>
      <c r="AO567" s="55"/>
      <c r="AP567" s="55"/>
      <c r="AQ567" s="55"/>
      <c r="AR567" s="55"/>
      <c r="AS567" s="55"/>
      <c r="AT567" s="55"/>
      <c r="AU567" s="55"/>
      <c r="AV567" s="55"/>
      <c r="AW567" s="55"/>
      <c r="AX567" s="55"/>
      <c r="AY567" s="55"/>
      <c r="AZ567" s="55"/>
      <c r="BA567" s="55"/>
      <c r="BB567" s="55"/>
      <c r="BC567" s="55"/>
      <c r="BD567" s="55"/>
    </row>
    <row r="568" spans="13:56" ht="14.25" customHeight="1">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c r="AJ568" s="55"/>
      <c r="AK568" s="55"/>
      <c r="AL568" s="55"/>
      <c r="AM568" s="55"/>
      <c r="AN568" s="55"/>
      <c r="AO568" s="55"/>
      <c r="AP568" s="55"/>
      <c r="AQ568" s="55"/>
      <c r="AR568" s="55"/>
      <c r="AS568" s="55"/>
      <c r="AT568" s="55"/>
      <c r="AU568" s="55"/>
      <c r="AV568" s="55"/>
      <c r="AW568" s="55"/>
      <c r="AX568" s="55"/>
      <c r="AY568" s="55"/>
      <c r="AZ568" s="55"/>
      <c r="BA568" s="55"/>
      <c r="BB568" s="55"/>
      <c r="BC568" s="55"/>
      <c r="BD568" s="55"/>
    </row>
    <row r="569" spans="13:56" ht="14.25" customHeight="1">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c r="AJ569" s="55"/>
      <c r="AK569" s="55"/>
      <c r="AL569" s="55"/>
      <c r="AM569" s="55"/>
      <c r="AN569" s="55"/>
      <c r="AO569" s="55"/>
      <c r="AP569" s="55"/>
      <c r="AQ569" s="55"/>
      <c r="AR569" s="55"/>
      <c r="AS569" s="55"/>
      <c r="AT569" s="55"/>
      <c r="AU569" s="55"/>
      <c r="AV569" s="55"/>
      <c r="AW569" s="55"/>
      <c r="AX569" s="55"/>
      <c r="AY569" s="55"/>
      <c r="AZ569" s="55"/>
      <c r="BA569" s="55"/>
      <c r="BB569" s="55"/>
      <c r="BC569" s="55"/>
      <c r="BD569" s="55"/>
    </row>
    <row r="570" spans="13:56" ht="14.25" customHeight="1">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c r="AJ570" s="55"/>
      <c r="AK570" s="55"/>
      <c r="AL570" s="55"/>
      <c r="AM570" s="55"/>
      <c r="AN570" s="55"/>
      <c r="AO570" s="55"/>
      <c r="AP570" s="55"/>
      <c r="AQ570" s="55"/>
      <c r="AR570" s="55"/>
      <c r="AS570" s="55"/>
      <c r="AT570" s="55"/>
      <c r="AU570" s="55"/>
      <c r="AV570" s="55"/>
      <c r="AW570" s="55"/>
      <c r="AX570" s="55"/>
      <c r="AY570" s="55"/>
      <c r="AZ570" s="55"/>
      <c r="BA570" s="55"/>
      <c r="BB570" s="55"/>
      <c r="BC570" s="55"/>
      <c r="BD570" s="55"/>
    </row>
    <row r="571" spans="13:56" ht="14.25" customHeight="1">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55"/>
      <c r="AL571" s="55"/>
      <c r="AM571" s="55"/>
      <c r="AN571" s="55"/>
      <c r="AO571" s="55"/>
      <c r="AP571" s="55"/>
      <c r="AQ571" s="55"/>
      <c r="AR571" s="55"/>
      <c r="AS571" s="55"/>
      <c r="AT571" s="55"/>
      <c r="AU571" s="55"/>
      <c r="AV571" s="55"/>
      <c r="AW571" s="55"/>
      <c r="AX571" s="55"/>
      <c r="AY571" s="55"/>
      <c r="AZ571" s="55"/>
      <c r="BA571" s="55"/>
      <c r="BB571" s="55"/>
      <c r="BC571" s="55"/>
      <c r="BD571" s="55"/>
    </row>
    <row r="572" spans="13:56" ht="14.25" customHeight="1">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c r="AJ572" s="55"/>
      <c r="AK572" s="55"/>
      <c r="AL572" s="55"/>
      <c r="AM572" s="55"/>
      <c r="AN572" s="55"/>
      <c r="AO572" s="55"/>
      <c r="AP572" s="55"/>
      <c r="AQ572" s="55"/>
      <c r="AR572" s="55"/>
      <c r="AS572" s="55"/>
      <c r="AT572" s="55"/>
      <c r="AU572" s="55"/>
      <c r="AV572" s="55"/>
      <c r="AW572" s="55"/>
      <c r="AX572" s="55"/>
      <c r="AY572" s="55"/>
      <c r="AZ572" s="55"/>
      <c r="BA572" s="55"/>
      <c r="BB572" s="55"/>
      <c r="BC572" s="55"/>
      <c r="BD572" s="55"/>
    </row>
    <row r="573" spans="13:56" ht="14.25" customHeight="1">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c r="AJ573" s="55"/>
      <c r="AK573" s="55"/>
      <c r="AL573" s="55"/>
      <c r="AM573" s="55"/>
      <c r="AN573" s="55"/>
      <c r="AO573" s="55"/>
      <c r="AP573" s="55"/>
      <c r="AQ573" s="55"/>
      <c r="AR573" s="55"/>
      <c r="AS573" s="55"/>
      <c r="AT573" s="55"/>
      <c r="AU573" s="55"/>
      <c r="AV573" s="55"/>
      <c r="AW573" s="55"/>
      <c r="AX573" s="55"/>
      <c r="AY573" s="55"/>
      <c r="AZ573" s="55"/>
      <c r="BA573" s="55"/>
      <c r="BB573" s="55"/>
      <c r="BC573" s="55"/>
      <c r="BD573" s="55"/>
    </row>
    <row r="574" spans="13:56" ht="14.25" customHeight="1">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c r="AJ574" s="55"/>
      <c r="AK574" s="55"/>
      <c r="AL574" s="55"/>
      <c r="AM574" s="55"/>
      <c r="AN574" s="55"/>
      <c r="AO574" s="55"/>
      <c r="AP574" s="55"/>
      <c r="AQ574" s="55"/>
      <c r="AR574" s="55"/>
      <c r="AS574" s="55"/>
      <c r="AT574" s="55"/>
      <c r="AU574" s="55"/>
      <c r="AV574" s="55"/>
      <c r="AW574" s="55"/>
      <c r="AX574" s="55"/>
      <c r="AY574" s="55"/>
      <c r="AZ574" s="55"/>
      <c r="BA574" s="55"/>
      <c r="BB574" s="55"/>
      <c r="BC574" s="55"/>
      <c r="BD574" s="55"/>
    </row>
    <row r="575" spans="13:56" ht="14.25" customHeight="1">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c r="AJ575" s="55"/>
      <c r="AK575" s="55"/>
      <c r="AL575" s="55"/>
      <c r="AM575" s="55"/>
      <c r="AN575" s="55"/>
      <c r="AO575" s="55"/>
      <c r="AP575" s="55"/>
      <c r="AQ575" s="55"/>
      <c r="AR575" s="55"/>
      <c r="AS575" s="55"/>
      <c r="AT575" s="55"/>
      <c r="AU575" s="55"/>
      <c r="AV575" s="55"/>
      <c r="AW575" s="55"/>
      <c r="AX575" s="55"/>
      <c r="AY575" s="55"/>
      <c r="AZ575" s="55"/>
      <c r="BA575" s="55"/>
      <c r="BB575" s="55"/>
      <c r="BC575" s="55"/>
      <c r="BD575" s="55"/>
    </row>
    <row r="576" spans="13:56" ht="14.25" customHeight="1">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c r="AJ576" s="55"/>
      <c r="AK576" s="55"/>
      <c r="AL576" s="55"/>
      <c r="AM576" s="55"/>
      <c r="AN576" s="55"/>
      <c r="AO576" s="55"/>
      <c r="AP576" s="55"/>
      <c r="AQ576" s="55"/>
      <c r="AR576" s="55"/>
      <c r="AS576" s="55"/>
      <c r="AT576" s="55"/>
      <c r="AU576" s="55"/>
      <c r="AV576" s="55"/>
      <c r="AW576" s="55"/>
      <c r="AX576" s="55"/>
      <c r="AY576" s="55"/>
      <c r="AZ576" s="55"/>
      <c r="BA576" s="55"/>
      <c r="BB576" s="55"/>
      <c r="BC576" s="55"/>
      <c r="BD576" s="55"/>
    </row>
    <row r="577" spans="13:56" ht="14.25" customHeight="1">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c r="AJ577" s="55"/>
      <c r="AK577" s="55"/>
      <c r="AL577" s="55"/>
      <c r="AM577" s="55"/>
      <c r="AN577" s="55"/>
      <c r="AO577" s="55"/>
      <c r="AP577" s="55"/>
      <c r="AQ577" s="55"/>
      <c r="AR577" s="55"/>
      <c r="AS577" s="55"/>
      <c r="AT577" s="55"/>
      <c r="AU577" s="55"/>
      <c r="AV577" s="55"/>
      <c r="AW577" s="55"/>
      <c r="AX577" s="55"/>
      <c r="AY577" s="55"/>
      <c r="AZ577" s="55"/>
      <c r="BA577" s="55"/>
      <c r="BB577" s="55"/>
      <c r="BC577" s="55"/>
      <c r="BD577" s="55"/>
    </row>
    <row r="578" spans="13:56" ht="14.25" customHeight="1">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c r="AJ578" s="55"/>
      <c r="AK578" s="55"/>
      <c r="AL578" s="55"/>
      <c r="AM578" s="55"/>
      <c r="AN578" s="55"/>
      <c r="AO578" s="55"/>
      <c r="AP578" s="55"/>
      <c r="AQ578" s="55"/>
      <c r="AR578" s="55"/>
      <c r="AS578" s="55"/>
      <c r="AT578" s="55"/>
      <c r="AU578" s="55"/>
      <c r="AV578" s="55"/>
      <c r="AW578" s="55"/>
      <c r="AX578" s="55"/>
      <c r="AY578" s="55"/>
      <c r="AZ578" s="55"/>
      <c r="BA578" s="55"/>
      <c r="BB578" s="55"/>
      <c r="BC578" s="55"/>
      <c r="BD578" s="55"/>
    </row>
    <row r="579" spans="13:56" ht="14.25" customHeight="1">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c r="AJ579" s="55"/>
      <c r="AK579" s="55"/>
      <c r="AL579" s="55"/>
      <c r="AM579" s="55"/>
      <c r="AN579" s="55"/>
      <c r="AO579" s="55"/>
      <c r="AP579" s="55"/>
      <c r="AQ579" s="55"/>
      <c r="AR579" s="55"/>
      <c r="AS579" s="55"/>
      <c r="AT579" s="55"/>
      <c r="AU579" s="55"/>
      <c r="AV579" s="55"/>
      <c r="AW579" s="55"/>
      <c r="AX579" s="55"/>
      <c r="AY579" s="55"/>
      <c r="AZ579" s="55"/>
      <c r="BA579" s="55"/>
      <c r="BB579" s="55"/>
      <c r="BC579" s="55"/>
      <c r="BD579" s="55"/>
    </row>
    <row r="580" spans="13:56" ht="14.25" customHeight="1">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55"/>
      <c r="AL580" s="55"/>
      <c r="AM580" s="55"/>
      <c r="AN580" s="55"/>
      <c r="AO580" s="55"/>
      <c r="AP580" s="55"/>
      <c r="AQ580" s="55"/>
      <c r="AR580" s="55"/>
      <c r="AS580" s="55"/>
      <c r="AT580" s="55"/>
      <c r="AU580" s="55"/>
      <c r="AV580" s="55"/>
      <c r="AW580" s="55"/>
      <c r="AX580" s="55"/>
      <c r="AY580" s="55"/>
      <c r="AZ580" s="55"/>
      <c r="BA580" s="55"/>
      <c r="BB580" s="55"/>
      <c r="BC580" s="55"/>
      <c r="BD580" s="55"/>
    </row>
    <row r="581" spans="13:56" ht="14.25" customHeight="1">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c r="AJ581" s="55"/>
      <c r="AK581" s="55"/>
      <c r="AL581" s="55"/>
      <c r="AM581" s="55"/>
      <c r="AN581" s="55"/>
      <c r="AO581" s="55"/>
      <c r="AP581" s="55"/>
      <c r="AQ581" s="55"/>
      <c r="AR581" s="55"/>
      <c r="AS581" s="55"/>
      <c r="AT581" s="55"/>
      <c r="AU581" s="55"/>
      <c r="AV581" s="55"/>
      <c r="AW581" s="55"/>
      <c r="AX581" s="55"/>
      <c r="AY581" s="55"/>
      <c r="AZ581" s="55"/>
      <c r="BA581" s="55"/>
      <c r="BB581" s="55"/>
      <c r="BC581" s="55"/>
      <c r="BD581" s="55"/>
    </row>
    <row r="582" spans="13:56" ht="14.25" customHeight="1">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55"/>
      <c r="AL582" s="55"/>
      <c r="AM582" s="55"/>
      <c r="AN582" s="55"/>
      <c r="AO582" s="55"/>
      <c r="AP582" s="55"/>
      <c r="AQ582" s="55"/>
      <c r="AR582" s="55"/>
      <c r="AS582" s="55"/>
      <c r="AT582" s="55"/>
      <c r="AU582" s="55"/>
      <c r="AV582" s="55"/>
      <c r="AW582" s="55"/>
      <c r="AX582" s="55"/>
      <c r="AY582" s="55"/>
      <c r="AZ582" s="55"/>
      <c r="BA582" s="55"/>
      <c r="BB582" s="55"/>
      <c r="BC582" s="55"/>
      <c r="BD582" s="55"/>
    </row>
    <row r="583" spans="13:56" ht="14.25" customHeight="1">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c r="AJ583" s="55"/>
      <c r="AK583" s="55"/>
      <c r="AL583" s="55"/>
      <c r="AM583" s="55"/>
      <c r="AN583" s="55"/>
      <c r="AO583" s="55"/>
      <c r="AP583" s="55"/>
      <c r="AQ583" s="55"/>
      <c r="AR583" s="55"/>
      <c r="AS583" s="55"/>
      <c r="AT583" s="55"/>
      <c r="AU583" s="55"/>
      <c r="AV583" s="55"/>
      <c r="AW583" s="55"/>
      <c r="AX583" s="55"/>
      <c r="AY583" s="55"/>
      <c r="AZ583" s="55"/>
      <c r="BA583" s="55"/>
      <c r="BB583" s="55"/>
      <c r="BC583" s="55"/>
      <c r="BD583" s="55"/>
    </row>
    <row r="584" spans="13:56" ht="14.25" customHeight="1">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c r="AJ584" s="55"/>
      <c r="AK584" s="55"/>
      <c r="AL584" s="55"/>
      <c r="AM584" s="55"/>
      <c r="AN584" s="55"/>
      <c r="AO584" s="55"/>
      <c r="AP584" s="55"/>
      <c r="AQ584" s="55"/>
      <c r="AR584" s="55"/>
      <c r="AS584" s="55"/>
      <c r="AT584" s="55"/>
      <c r="AU584" s="55"/>
      <c r="AV584" s="55"/>
      <c r="AW584" s="55"/>
      <c r="AX584" s="55"/>
      <c r="AY584" s="55"/>
      <c r="AZ584" s="55"/>
      <c r="BA584" s="55"/>
      <c r="BB584" s="55"/>
      <c r="BC584" s="55"/>
      <c r="BD584" s="55"/>
    </row>
    <row r="585" spans="13:56" ht="14.25" customHeight="1">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c r="AJ585" s="55"/>
      <c r="AK585" s="55"/>
      <c r="AL585" s="55"/>
      <c r="AM585" s="55"/>
      <c r="AN585" s="55"/>
      <c r="AO585" s="55"/>
      <c r="AP585" s="55"/>
      <c r="AQ585" s="55"/>
      <c r="AR585" s="55"/>
      <c r="AS585" s="55"/>
      <c r="AT585" s="55"/>
      <c r="AU585" s="55"/>
      <c r="AV585" s="55"/>
      <c r="AW585" s="55"/>
      <c r="AX585" s="55"/>
      <c r="AY585" s="55"/>
      <c r="AZ585" s="55"/>
      <c r="BA585" s="55"/>
      <c r="BB585" s="55"/>
      <c r="BC585" s="55"/>
      <c r="BD585" s="55"/>
    </row>
    <row r="586" spans="13:56" ht="14.25" customHeight="1">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c r="AJ586" s="55"/>
      <c r="AK586" s="55"/>
      <c r="AL586" s="55"/>
      <c r="AM586" s="55"/>
      <c r="AN586" s="55"/>
      <c r="AO586" s="55"/>
      <c r="AP586" s="55"/>
      <c r="AQ586" s="55"/>
      <c r="AR586" s="55"/>
      <c r="AS586" s="55"/>
      <c r="AT586" s="55"/>
      <c r="AU586" s="55"/>
      <c r="AV586" s="55"/>
      <c r="AW586" s="55"/>
      <c r="AX586" s="55"/>
      <c r="AY586" s="55"/>
      <c r="AZ586" s="55"/>
      <c r="BA586" s="55"/>
      <c r="BB586" s="55"/>
      <c r="BC586" s="55"/>
      <c r="BD586" s="55"/>
    </row>
    <row r="587" spans="13:56" ht="14.25" customHeight="1">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c r="AJ587" s="55"/>
      <c r="AK587" s="55"/>
      <c r="AL587" s="55"/>
      <c r="AM587" s="55"/>
      <c r="AN587" s="55"/>
      <c r="AO587" s="55"/>
      <c r="AP587" s="55"/>
      <c r="AQ587" s="55"/>
      <c r="AR587" s="55"/>
      <c r="AS587" s="55"/>
      <c r="AT587" s="55"/>
      <c r="AU587" s="55"/>
      <c r="AV587" s="55"/>
      <c r="AW587" s="55"/>
      <c r="AX587" s="55"/>
      <c r="AY587" s="55"/>
      <c r="AZ587" s="55"/>
      <c r="BA587" s="55"/>
      <c r="BB587" s="55"/>
      <c r="BC587" s="55"/>
      <c r="BD587" s="55"/>
    </row>
    <row r="588" spans="13:56" ht="14.25" customHeight="1">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c r="AJ588" s="55"/>
      <c r="AK588" s="55"/>
      <c r="AL588" s="55"/>
      <c r="AM588" s="55"/>
      <c r="AN588" s="55"/>
      <c r="AO588" s="55"/>
      <c r="AP588" s="55"/>
      <c r="AQ588" s="55"/>
      <c r="AR588" s="55"/>
      <c r="AS588" s="55"/>
      <c r="AT588" s="55"/>
      <c r="AU588" s="55"/>
      <c r="AV588" s="55"/>
      <c r="AW588" s="55"/>
      <c r="AX588" s="55"/>
      <c r="AY588" s="55"/>
      <c r="AZ588" s="55"/>
      <c r="BA588" s="55"/>
      <c r="BB588" s="55"/>
      <c r="BC588" s="55"/>
      <c r="BD588" s="55"/>
    </row>
    <row r="589" spans="13:56" ht="14.25" customHeight="1">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c r="AJ589" s="55"/>
      <c r="AK589" s="55"/>
      <c r="AL589" s="55"/>
      <c r="AM589" s="55"/>
      <c r="AN589" s="55"/>
      <c r="AO589" s="55"/>
      <c r="AP589" s="55"/>
      <c r="AQ589" s="55"/>
      <c r="AR589" s="55"/>
      <c r="AS589" s="55"/>
      <c r="AT589" s="55"/>
      <c r="AU589" s="55"/>
      <c r="AV589" s="55"/>
      <c r="AW589" s="55"/>
      <c r="AX589" s="55"/>
      <c r="AY589" s="55"/>
      <c r="AZ589" s="55"/>
      <c r="BA589" s="55"/>
      <c r="BB589" s="55"/>
      <c r="BC589" s="55"/>
      <c r="BD589" s="55"/>
    </row>
    <row r="590" spans="13:56" ht="14.25" customHeight="1">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c r="AZ590" s="55"/>
      <c r="BA590" s="55"/>
      <c r="BB590" s="55"/>
      <c r="BC590" s="55"/>
      <c r="BD590" s="55"/>
    </row>
    <row r="591" spans="13:56" ht="14.25" customHeight="1">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c r="AJ591" s="55"/>
      <c r="AK591" s="55"/>
      <c r="AL591" s="55"/>
      <c r="AM591" s="55"/>
      <c r="AN591" s="55"/>
      <c r="AO591" s="55"/>
      <c r="AP591" s="55"/>
      <c r="AQ591" s="55"/>
      <c r="AR591" s="55"/>
      <c r="AS591" s="55"/>
      <c r="AT591" s="55"/>
      <c r="AU591" s="55"/>
      <c r="AV591" s="55"/>
      <c r="AW591" s="55"/>
      <c r="AX591" s="55"/>
      <c r="AY591" s="55"/>
      <c r="AZ591" s="55"/>
      <c r="BA591" s="55"/>
      <c r="BB591" s="55"/>
      <c r="BC591" s="55"/>
      <c r="BD591" s="55"/>
    </row>
    <row r="592" spans="13:56" ht="14.25" customHeight="1">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c r="AJ592" s="55"/>
      <c r="AK592" s="55"/>
      <c r="AL592" s="55"/>
      <c r="AM592" s="55"/>
      <c r="AN592" s="55"/>
      <c r="AO592" s="55"/>
      <c r="AP592" s="55"/>
      <c r="AQ592" s="55"/>
      <c r="AR592" s="55"/>
      <c r="AS592" s="55"/>
      <c r="AT592" s="55"/>
      <c r="AU592" s="55"/>
      <c r="AV592" s="55"/>
      <c r="AW592" s="55"/>
      <c r="AX592" s="55"/>
      <c r="AY592" s="55"/>
      <c r="AZ592" s="55"/>
      <c r="BA592" s="55"/>
      <c r="BB592" s="55"/>
      <c r="BC592" s="55"/>
      <c r="BD592" s="55"/>
    </row>
    <row r="593" spans="13:56" ht="14.25" customHeight="1">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c r="AJ593" s="55"/>
      <c r="AK593" s="55"/>
      <c r="AL593" s="55"/>
      <c r="AM593" s="55"/>
      <c r="AN593" s="55"/>
      <c r="AO593" s="55"/>
      <c r="AP593" s="55"/>
      <c r="AQ593" s="55"/>
      <c r="AR593" s="55"/>
      <c r="AS593" s="55"/>
      <c r="AT593" s="55"/>
      <c r="AU593" s="55"/>
      <c r="AV593" s="55"/>
      <c r="AW593" s="55"/>
      <c r="AX593" s="55"/>
      <c r="AY593" s="55"/>
      <c r="AZ593" s="55"/>
      <c r="BA593" s="55"/>
      <c r="BB593" s="55"/>
      <c r="BC593" s="55"/>
      <c r="BD593" s="55"/>
    </row>
    <row r="594" spans="13:56" ht="14.25" customHeight="1">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55"/>
      <c r="AL594" s="55"/>
      <c r="AM594" s="55"/>
      <c r="AN594" s="55"/>
      <c r="AO594" s="55"/>
      <c r="AP594" s="55"/>
      <c r="AQ594" s="55"/>
      <c r="AR594" s="55"/>
      <c r="AS594" s="55"/>
      <c r="AT594" s="55"/>
      <c r="AU594" s="55"/>
      <c r="AV594" s="55"/>
      <c r="AW594" s="55"/>
      <c r="AX594" s="55"/>
      <c r="AY594" s="55"/>
      <c r="AZ594" s="55"/>
      <c r="BA594" s="55"/>
      <c r="BB594" s="55"/>
      <c r="BC594" s="55"/>
      <c r="BD594" s="55"/>
    </row>
    <row r="595" spans="13:56" ht="14.25" customHeight="1">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c r="AJ595" s="55"/>
      <c r="AK595" s="55"/>
      <c r="AL595" s="55"/>
      <c r="AM595" s="55"/>
      <c r="AN595" s="55"/>
      <c r="AO595" s="55"/>
      <c r="AP595" s="55"/>
      <c r="AQ595" s="55"/>
      <c r="AR595" s="55"/>
      <c r="AS595" s="55"/>
      <c r="AT595" s="55"/>
      <c r="AU595" s="55"/>
      <c r="AV595" s="55"/>
      <c r="AW595" s="55"/>
      <c r="AX595" s="55"/>
      <c r="AY595" s="55"/>
      <c r="AZ595" s="55"/>
      <c r="BA595" s="55"/>
      <c r="BB595" s="55"/>
      <c r="BC595" s="55"/>
      <c r="BD595" s="55"/>
    </row>
    <row r="596" spans="13:56" ht="14.25" customHeight="1">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c r="AJ596" s="55"/>
      <c r="AK596" s="55"/>
      <c r="AL596" s="55"/>
      <c r="AM596" s="55"/>
      <c r="AN596" s="55"/>
      <c r="AO596" s="55"/>
      <c r="AP596" s="55"/>
      <c r="AQ596" s="55"/>
      <c r="AR596" s="55"/>
      <c r="AS596" s="55"/>
      <c r="AT596" s="55"/>
      <c r="AU596" s="55"/>
      <c r="AV596" s="55"/>
      <c r="AW596" s="55"/>
      <c r="AX596" s="55"/>
      <c r="AY596" s="55"/>
      <c r="AZ596" s="55"/>
      <c r="BA596" s="55"/>
      <c r="BB596" s="55"/>
      <c r="BC596" s="55"/>
      <c r="BD596" s="55"/>
    </row>
    <row r="597" spans="13:56" ht="14.25" customHeight="1">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55"/>
      <c r="AL597" s="55"/>
      <c r="AM597" s="55"/>
      <c r="AN597" s="55"/>
      <c r="AO597" s="55"/>
      <c r="AP597" s="55"/>
      <c r="AQ597" s="55"/>
      <c r="AR597" s="55"/>
      <c r="AS597" s="55"/>
      <c r="AT597" s="55"/>
      <c r="AU597" s="55"/>
      <c r="AV597" s="55"/>
      <c r="AW597" s="55"/>
      <c r="AX597" s="55"/>
      <c r="AY597" s="55"/>
      <c r="AZ597" s="55"/>
      <c r="BA597" s="55"/>
      <c r="BB597" s="55"/>
      <c r="BC597" s="55"/>
      <c r="BD597" s="55"/>
    </row>
    <row r="598" spans="13:56" ht="14.25" customHeight="1">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c r="AJ598" s="55"/>
      <c r="AK598" s="55"/>
      <c r="AL598" s="55"/>
      <c r="AM598" s="55"/>
      <c r="AN598" s="55"/>
      <c r="AO598" s="55"/>
      <c r="AP598" s="55"/>
      <c r="AQ598" s="55"/>
      <c r="AR598" s="55"/>
      <c r="AS598" s="55"/>
      <c r="AT598" s="55"/>
      <c r="AU598" s="55"/>
      <c r="AV598" s="55"/>
      <c r="AW598" s="55"/>
      <c r="AX598" s="55"/>
      <c r="AY598" s="55"/>
      <c r="AZ598" s="55"/>
      <c r="BA598" s="55"/>
      <c r="BB598" s="55"/>
      <c r="BC598" s="55"/>
      <c r="BD598" s="55"/>
    </row>
    <row r="599" spans="13:56" ht="14.25" customHeight="1">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c r="AJ599" s="55"/>
      <c r="AK599" s="55"/>
      <c r="AL599" s="55"/>
      <c r="AM599" s="55"/>
      <c r="AN599" s="55"/>
      <c r="AO599" s="55"/>
      <c r="AP599" s="55"/>
      <c r="AQ599" s="55"/>
      <c r="AR599" s="55"/>
      <c r="AS599" s="55"/>
      <c r="AT599" s="55"/>
      <c r="AU599" s="55"/>
      <c r="AV599" s="55"/>
      <c r="AW599" s="55"/>
      <c r="AX599" s="55"/>
      <c r="AY599" s="55"/>
      <c r="AZ599" s="55"/>
      <c r="BA599" s="55"/>
      <c r="BB599" s="55"/>
      <c r="BC599" s="55"/>
      <c r="BD599" s="55"/>
    </row>
    <row r="600" spans="13:56" ht="14.25" customHeight="1">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c r="AJ600" s="55"/>
      <c r="AK600" s="55"/>
      <c r="AL600" s="55"/>
      <c r="AM600" s="55"/>
      <c r="AN600" s="55"/>
      <c r="AO600" s="55"/>
      <c r="AP600" s="55"/>
      <c r="AQ600" s="55"/>
      <c r="AR600" s="55"/>
      <c r="AS600" s="55"/>
      <c r="AT600" s="55"/>
      <c r="AU600" s="55"/>
      <c r="AV600" s="55"/>
      <c r="AW600" s="55"/>
      <c r="AX600" s="55"/>
      <c r="AY600" s="55"/>
      <c r="AZ600" s="55"/>
      <c r="BA600" s="55"/>
      <c r="BB600" s="55"/>
      <c r="BC600" s="55"/>
      <c r="BD600" s="55"/>
    </row>
    <row r="601" spans="13:56" ht="14.25" customHeight="1">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c r="AJ601" s="55"/>
      <c r="AK601" s="55"/>
      <c r="AL601" s="55"/>
      <c r="AM601" s="55"/>
      <c r="AN601" s="55"/>
      <c r="AO601" s="55"/>
      <c r="AP601" s="55"/>
      <c r="AQ601" s="55"/>
      <c r="AR601" s="55"/>
      <c r="AS601" s="55"/>
      <c r="AT601" s="55"/>
      <c r="AU601" s="55"/>
      <c r="AV601" s="55"/>
      <c r="AW601" s="55"/>
      <c r="AX601" s="55"/>
      <c r="AY601" s="55"/>
      <c r="AZ601" s="55"/>
      <c r="BA601" s="55"/>
      <c r="BB601" s="55"/>
      <c r="BC601" s="55"/>
      <c r="BD601" s="55"/>
    </row>
    <row r="602" spans="13:56" ht="14.25" customHeight="1">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c r="AJ602" s="55"/>
      <c r="AK602" s="55"/>
      <c r="AL602" s="55"/>
      <c r="AM602" s="55"/>
      <c r="AN602" s="55"/>
      <c r="AO602" s="55"/>
      <c r="AP602" s="55"/>
      <c r="AQ602" s="55"/>
      <c r="AR602" s="55"/>
      <c r="AS602" s="55"/>
      <c r="AT602" s="55"/>
      <c r="AU602" s="55"/>
      <c r="AV602" s="55"/>
      <c r="AW602" s="55"/>
      <c r="AX602" s="55"/>
      <c r="AY602" s="55"/>
      <c r="AZ602" s="55"/>
      <c r="BA602" s="55"/>
      <c r="BB602" s="55"/>
      <c r="BC602" s="55"/>
      <c r="BD602" s="55"/>
    </row>
    <row r="603" spans="13:56" ht="14.25" customHeight="1">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55"/>
      <c r="AL603" s="55"/>
      <c r="AM603" s="55"/>
      <c r="AN603" s="55"/>
      <c r="AO603" s="55"/>
      <c r="AP603" s="55"/>
      <c r="AQ603" s="55"/>
      <c r="AR603" s="55"/>
      <c r="AS603" s="55"/>
      <c r="AT603" s="55"/>
      <c r="AU603" s="55"/>
      <c r="AV603" s="55"/>
      <c r="AW603" s="55"/>
      <c r="AX603" s="55"/>
      <c r="AY603" s="55"/>
      <c r="AZ603" s="55"/>
      <c r="BA603" s="55"/>
      <c r="BB603" s="55"/>
      <c r="BC603" s="55"/>
      <c r="BD603" s="55"/>
    </row>
    <row r="604" spans="13:56" ht="14.25" customHeight="1">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c r="AJ604" s="55"/>
      <c r="AK604" s="55"/>
      <c r="AL604" s="55"/>
      <c r="AM604" s="55"/>
      <c r="AN604" s="55"/>
      <c r="AO604" s="55"/>
      <c r="AP604" s="55"/>
      <c r="AQ604" s="55"/>
      <c r="AR604" s="55"/>
      <c r="AS604" s="55"/>
      <c r="AT604" s="55"/>
      <c r="AU604" s="55"/>
      <c r="AV604" s="55"/>
      <c r="AW604" s="55"/>
      <c r="AX604" s="55"/>
      <c r="AY604" s="55"/>
      <c r="AZ604" s="55"/>
      <c r="BA604" s="55"/>
      <c r="BB604" s="55"/>
      <c r="BC604" s="55"/>
      <c r="BD604" s="55"/>
    </row>
    <row r="605" spans="13:56" ht="14.25" customHeight="1">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c r="AJ605" s="55"/>
      <c r="AK605" s="55"/>
      <c r="AL605" s="55"/>
      <c r="AM605" s="55"/>
      <c r="AN605" s="55"/>
      <c r="AO605" s="55"/>
      <c r="AP605" s="55"/>
      <c r="AQ605" s="55"/>
      <c r="AR605" s="55"/>
      <c r="AS605" s="55"/>
      <c r="AT605" s="55"/>
      <c r="AU605" s="55"/>
      <c r="AV605" s="55"/>
      <c r="AW605" s="55"/>
      <c r="AX605" s="55"/>
      <c r="AY605" s="55"/>
      <c r="AZ605" s="55"/>
      <c r="BA605" s="55"/>
      <c r="BB605" s="55"/>
      <c r="BC605" s="55"/>
      <c r="BD605" s="55"/>
    </row>
    <row r="606" spans="13:56" ht="14.25" customHeight="1">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c r="AJ606" s="55"/>
      <c r="AK606" s="55"/>
      <c r="AL606" s="55"/>
      <c r="AM606" s="55"/>
      <c r="AN606" s="55"/>
      <c r="AO606" s="55"/>
      <c r="AP606" s="55"/>
      <c r="AQ606" s="55"/>
      <c r="AR606" s="55"/>
      <c r="AS606" s="55"/>
      <c r="AT606" s="55"/>
      <c r="AU606" s="55"/>
      <c r="AV606" s="55"/>
      <c r="AW606" s="55"/>
      <c r="AX606" s="55"/>
      <c r="AY606" s="55"/>
      <c r="AZ606" s="55"/>
      <c r="BA606" s="55"/>
      <c r="BB606" s="55"/>
      <c r="BC606" s="55"/>
      <c r="BD606" s="55"/>
    </row>
    <row r="607" spans="13:56" ht="14.25" customHeight="1">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c r="AJ607" s="55"/>
      <c r="AK607" s="55"/>
      <c r="AL607" s="55"/>
      <c r="AM607" s="55"/>
      <c r="AN607" s="55"/>
      <c r="AO607" s="55"/>
      <c r="AP607" s="55"/>
      <c r="AQ607" s="55"/>
      <c r="AR607" s="55"/>
      <c r="AS607" s="55"/>
      <c r="AT607" s="55"/>
      <c r="AU607" s="55"/>
      <c r="AV607" s="55"/>
      <c r="AW607" s="55"/>
      <c r="AX607" s="55"/>
      <c r="AY607" s="55"/>
      <c r="AZ607" s="55"/>
      <c r="BA607" s="55"/>
      <c r="BB607" s="55"/>
      <c r="BC607" s="55"/>
      <c r="BD607" s="55"/>
    </row>
    <row r="608" spans="13:56" ht="14.25" customHeight="1">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c r="AJ608" s="55"/>
      <c r="AK608" s="55"/>
      <c r="AL608" s="55"/>
      <c r="AM608" s="55"/>
      <c r="AN608" s="55"/>
      <c r="AO608" s="55"/>
      <c r="AP608" s="55"/>
      <c r="AQ608" s="55"/>
      <c r="AR608" s="55"/>
      <c r="AS608" s="55"/>
      <c r="AT608" s="55"/>
      <c r="AU608" s="55"/>
      <c r="AV608" s="55"/>
      <c r="AW608" s="55"/>
      <c r="AX608" s="55"/>
      <c r="AY608" s="55"/>
      <c r="AZ608" s="55"/>
      <c r="BA608" s="55"/>
      <c r="BB608" s="55"/>
      <c r="BC608" s="55"/>
      <c r="BD608" s="55"/>
    </row>
    <row r="609" spans="13:56" ht="14.25" customHeight="1">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c r="AJ609" s="55"/>
      <c r="AK609" s="55"/>
      <c r="AL609" s="55"/>
      <c r="AM609" s="55"/>
      <c r="AN609" s="55"/>
      <c r="AO609" s="55"/>
      <c r="AP609" s="55"/>
      <c r="AQ609" s="55"/>
      <c r="AR609" s="55"/>
      <c r="AS609" s="55"/>
      <c r="AT609" s="55"/>
      <c r="AU609" s="55"/>
      <c r="AV609" s="55"/>
      <c r="AW609" s="55"/>
      <c r="AX609" s="55"/>
      <c r="AY609" s="55"/>
      <c r="AZ609" s="55"/>
      <c r="BA609" s="55"/>
      <c r="BB609" s="55"/>
      <c r="BC609" s="55"/>
      <c r="BD609" s="55"/>
    </row>
    <row r="610" spans="13:56" ht="14.25" customHeight="1">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c r="AJ610" s="55"/>
      <c r="AK610" s="55"/>
      <c r="AL610" s="55"/>
      <c r="AM610" s="55"/>
      <c r="AN610" s="55"/>
      <c r="AO610" s="55"/>
      <c r="AP610" s="55"/>
      <c r="AQ610" s="55"/>
      <c r="AR610" s="55"/>
      <c r="AS610" s="55"/>
      <c r="AT610" s="55"/>
      <c r="AU610" s="55"/>
      <c r="AV610" s="55"/>
      <c r="AW610" s="55"/>
      <c r="AX610" s="55"/>
      <c r="AY610" s="55"/>
      <c r="AZ610" s="55"/>
      <c r="BA610" s="55"/>
      <c r="BB610" s="55"/>
      <c r="BC610" s="55"/>
      <c r="BD610" s="55"/>
    </row>
    <row r="611" spans="13:56" ht="14.25" customHeight="1">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55"/>
      <c r="AL611" s="55"/>
      <c r="AM611" s="55"/>
      <c r="AN611" s="55"/>
      <c r="AO611" s="55"/>
      <c r="AP611" s="55"/>
      <c r="AQ611" s="55"/>
      <c r="AR611" s="55"/>
      <c r="AS611" s="55"/>
      <c r="AT611" s="55"/>
      <c r="AU611" s="55"/>
      <c r="AV611" s="55"/>
      <c r="AW611" s="55"/>
      <c r="AX611" s="55"/>
      <c r="AY611" s="55"/>
      <c r="AZ611" s="55"/>
      <c r="BA611" s="55"/>
      <c r="BB611" s="55"/>
      <c r="BC611" s="55"/>
      <c r="BD611" s="55"/>
    </row>
    <row r="612" spans="13:56" ht="14.25" customHeight="1">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55"/>
      <c r="AL612" s="55"/>
      <c r="AM612" s="55"/>
      <c r="AN612" s="55"/>
      <c r="AO612" s="55"/>
      <c r="AP612" s="55"/>
      <c r="AQ612" s="55"/>
      <c r="AR612" s="55"/>
      <c r="AS612" s="55"/>
      <c r="AT612" s="55"/>
      <c r="AU612" s="55"/>
      <c r="AV612" s="55"/>
      <c r="AW612" s="55"/>
      <c r="AX612" s="55"/>
      <c r="AY612" s="55"/>
      <c r="AZ612" s="55"/>
      <c r="BA612" s="55"/>
      <c r="BB612" s="55"/>
      <c r="BC612" s="55"/>
      <c r="BD612" s="55"/>
    </row>
    <row r="613" spans="13:56" ht="14.25" customHeight="1">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c r="AJ613" s="55"/>
      <c r="AK613" s="55"/>
      <c r="AL613" s="55"/>
      <c r="AM613" s="55"/>
      <c r="AN613" s="55"/>
      <c r="AO613" s="55"/>
      <c r="AP613" s="55"/>
      <c r="AQ613" s="55"/>
      <c r="AR613" s="55"/>
      <c r="AS613" s="55"/>
      <c r="AT613" s="55"/>
      <c r="AU613" s="55"/>
      <c r="AV613" s="55"/>
      <c r="AW613" s="55"/>
      <c r="AX613" s="55"/>
      <c r="AY613" s="55"/>
      <c r="AZ613" s="55"/>
      <c r="BA613" s="55"/>
      <c r="BB613" s="55"/>
      <c r="BC613" s="55"/>
      <c r="BD613" s="55"/>
    </row>
    <row r="614" spans="13:56" ht="14.25" customHeight="1">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c r="AJ614" s="55"/>
      <c r="AK614" s="55"/>
      <c r="AL614" s="55"/>
      <c r="AM614" s="55"/>
      <c r="AN614" s="55"/>
      <c r="AO614" s="55"/>
      <c r="AP614" s="55"/>
      <c r="AQ614" s="55"/>
      <c r="AR614" s="55"/>
      <c r="AS614" s="55"/>
      <c r="AT614" s="55"/>
      <c r="AU614" s="55"/>
      <c r="AV614" s="55"/>
      <c r="AW614" s="55"/>
      <c r="AX614" s="55"/>
      <c r="AY614" s="55"/>
      <c r="AZ614" s="55"/>
      <c r="BA614" s="55"/>
      <c r="BB614" s="55"/>
      <c r="BC614" s="55"/>
      <c r="BD614" s="55"/>
    </row>
    <row r="615" spans="13:56" ht="14.25" customHeight="1">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c r="AJ615" s="55"/>
      <c r="AK615" s="55"/>
      <c r="AL615" s="55"/>
      <c r="AM615" s="55"/>
      <c r="AN615" s="55"/>
      <c r="AO615" s="55"/>
      <c r="AP615" s="55"/>
      <c r="AQ615" s="55"/>
      <c r="AR615" s="55"/>
      <c r="AS615" s="55"/>
      <c r="AT615" s="55"/>
      <c r="AU615" s="55"/>
      <c r="AV615" s="55"/>
      <c r="AW615" s="55"/>
      <c r="AX615" s="55"/>
      <c r="AY615" s="55"/>
      <c r="AZ615" s="55"/>
      <c r="BA615" s="55"/>
      <c r="BB615" s="55"/>
      <c r="BC615" s="55"/>
      <c r="BD615" s="55"/>
    </row>
    <row r="616" spans="13:56" ht="14.25" customHeight="1">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c r="AJ616" s="55"/>
      <c r="AK616" s="55"/>
      <c r="AL616" s="55"/>
      <c r="AM616" s="55"/>
      <c r="AN616" s="55"/>
      <c r="AO616" s="55"/>
      <c r="AP616" s="55"/>
      <c r="AQ616" s="55"/>
      <c r="AR616" s="55"/>
      <c r="AS616" s="55"/>
      <c r="AT616" s="55"/>
      <c r="AU616" s="55"/>
      <c r="AV616" s="55"/>
      <c r="AW616" s="55"/>
      <c r="AX616" s="55"/>
      <c r="AY616" s="55"/>
      <c r="AZ616" s="55"/>
      <c r="BA616" s="55"/>
      <c r="BB616" s="55"/>
      <c r="BC616" s="55"/>
      <c r="BD616" s="55"/>
    </row>
    <row r="617" spans="13:56" ht="14.25" customHeight="1">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c r="AJ617" s="55"/>
      <c r="AK617" s="55"/>
      <c r="AL617" s="55"/>
      <c r="AM617" s="55"/>
      <c r="AN617" s="55"/>
      <c r="AO617" s="55"/>
      <c r="AP617" s="55"/>
      <c r="AQ617" s="55"/>
      <c r="AR617" s="55"/>
      <c r="AS617" s="55"/>
      <c r="AT617" s="55"/>
      <c r="AU617" s="55"/>
      <c r="AV617" s="55"/>
      <c r="AW617" s="55"/>
      <c r="AX617" s="55"/>
      <c r="AY617" s="55"/>
      <c r="AZ617" s="55"/>
      <c r="BA617" s="55"/>
      <c r="BB617" s="55"/>
      <c r="BC617" s="55"/>
      <c r="BD617" s="55"/>
    </row>
    <row r="618" spans="13:56" ht="14.25" customHeight="1">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c r="AJ618" s="55"/>
      <c r="AK618" s="55"/>
      <c r="AL618" s="55"/>
      <c r="AM618" s="55"/>
      <c r="AN618" s="55"/>
      <c r="AO618" s="55"/>
      <c r="AP618" s="55"/>
      <c r="AQ618" s="55"/>
      <c r="AR618" s="55"/>
      <c r="AS618" s="55"/>
      <c r="AT618" s="55"/>
      <c r="AU618" s="55"/>
      <c r="AV618" s="55"/>
      <c r="AW618" s="55"/>
      <c r="AX618" s="55"/>
      <c r="AY618" s="55"/>
      <c r="AZ618" s="55"/>
      <c r="BA618" s="55"/>
      <c r="BB618" s="55"/>
      <c r="BC618" s="55"/>
      <c r="BD618" s="55"/>
    </row>
    <row r="619" spans="13:56" ht="14.25" customHeight="1">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c r="AJ619" s="55"/>
      <c r="AK619" s="55"/>
      <c r="AL619" s="55"/>
      <c r="AM619" s="55"/>
      <c r="AN619" s="55"/>
      <c r="AO619" s="55"/>
      <c r="AP619" s="55"/>
      <c r="AQ619" s="55"/>
      <c r="AR619" s="55"/>
      <c r="AS619" s="55"/>
      <c r="AT619" s="55"/>
      <c r="AU619" s="55"/>
      <c r="AV619" s="55"/>
      <c r="AW619" s="55"/>
      <c r="AX619" s="55"/>
      <c r="AY619" s="55"/>
      <c r="AZ619" s="55"/>
      <c r="BA619" s="55"/>
      <c r="BB619" s="55"/>
      <c r="BC619" s="55"/>
      <c r="BD619" s="55"/>
    </row>
    <row r="620" spans="13:56" ht="14.25" customHeight="1">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c r="AJ620" s="55"/>
      <c r="AK620" s="55"/>
      <c r="AL620" s="55"/>
      <c r="AM620" s="55"/>
      <c r="AN620" s="55"/>
      <c r="AO620" s="55"/>
      <c r="AP620" s="55"/>
      <c r="AQ620" s="55"/>
      <c r="AR620" s="55"/>
      <c r="AS620" s="55"/>
      <c r="AT620" s="55"/>
      <c r="AU620" s="55"/>
      <c r="AV620" s="55"/>
      <c r="AW620" s="55"/>
      <c r="AX620" s="55"/>
      <c r="AY620" s="55"/>
      <c r="AZ620" s="55"/>
      <c r="BA620" s="55"/>
      <c r="BB620" s="55"/>
      <c r="BC620" s="55"/>
      <c r="BD620" s="55"/>
    </row>
    <row r="621" spans="13:56" ht="14.25" customHeight="1">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55"/>
      <c r="AL621" s="55"/>
      <c r="AM621" s="55"/>
      <c r="AN621" s="55"/>
      <c r="AO621" s="55"/>
      <c r="AP621" s="55"/>
      <c r="AQ621" s="55"/>
      <c r="AR621" s="55"/>
      <c r="AS621" s="55"/>
      <c r="AT621" s="55"/>
      <c r="AU621" s="55"/>
      <c r="AV621" s="55"/>
      <c r="AW621" s="55"/>
      <c r="AX621" s="55"/>
      <c r="AY621" s="55"/>
      <c r="AZ621" s="55"/>
      <c r="BA621" s="55"/>
      <c r="BB621" s="55"/>
      <c r="BC621" s="55"/>
      <c r="BD621" s="55"/>
    </row>
    <row r="622" spans="13:56" ht="14.25" customHeight="1">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c r="AJ622" s="55"/>
      <c r="AK622" s="55"/>
      <c r="AL622" s="55"/>
      <c r="AM622" s="55"/>
      <c r="AN622" s="55"/>
      <c r="AO622" s="55"/>
      <c r="AP622" s="55"/>
      <c r="AQ622" s="55"/>
      <c r="AR622" s="55"/>
      <c r="AS622" s="55"/>
      <c r="AT622" s="55"/>
      <c r="AU622" s="55"/>
      <c r="AV622" s="55"/>
      <c r="AW622" s="55"/>
      <c r="AX622" s="55"/>
      <c r="AY622" s="55"/>
      <c r="AZ622" s="55"/>
      <c r="BA622" s="55"/>
      <c r="BB622" s="55"/>
      <c r="BC622" s="55"/>
      <c r="BD622" s="55"/>
    </row>
    <row r="623" spans="13:56" ht="14.25" customHeight="1">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c r="AJ623" s="55"/>
      <c r="AK623" s="55"/>
      <c r="AL623" s="55"/>
      <c r="AM623" s="55"/>
      <c r="AN623" s="55"/>
      <c r="AO623" s="55"/>
      <c r="AP623" s="55"/>
      <c r="AQ623" s="55"/>
      <c r="AR623" s="55"/>
      <c r="AS623" s="55"/>
      <c r="AT623" s="55"/>
      <c r="AU623" s="55"/>
      <c r="AV623" s="55"/>
      <c r="AW623" s="55"/>
      <c r="AX623" s="55"/>
      <c r="AY623" s="55"/>
      <c r="AZ623" s="55"/>
      <c r="BA623" s="55"/>
      <c r="BB623" s="55"/>
      <c r="BC623" s="55"/>
      <c r="BD623" s="55"/>
    </row>
    <row r="624" spans="13:56" ht="14.25" customHeight="1">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c r="AJ624" s="55"/>
      <c r="AK624" s="55"/>
      <c r="AL624" s="55"/>
      <c r="AM624" s="55"/>
      <c r="AN624" s="55"/>
      <c r="AO624" s="55"/>
      <c r="AP624" s="55"/>
      <c r="AQ624" s="55"/>
      <c r="AR624" s="55"/>
      <c r="AS624" s="55"/>
      <c r="AT624" s="55"/>
      <c r="AU624" s="55"/>
      <c r="AV624" s="55"/>
      <c r="AW624" s="55"/>
      <c r="AX624" s="55"/>
      <c r="AY624" s="55"/>
      <c r="AZ624" s="55"/>
      <c r="BA624" s="55"/>
      <c r="BB624" s="55"/>
      <c r="BC624" s="55"/>
      <c r="BD624" s="55"/>
    </row>
    <row r="625" spans="13:56" ht="14.25" customHeight="1">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c r="AJ625" s="55"/>
      <c r="AK625" s="55"/>
      <c r="AL625" s="55"/>
      <c r="AM625" s="55"/>
      <c r="AN625" s="55"/>
      <c r="AO625" s="55"/>
      <c r="AP625" s="55"/>
      <c r="AQ625" s="55"/>
      <c r="AR625" s="55"/>
      <c r="AS625" s="55"/>
      <c r="AT625" s="55"/>
      <c r="AU625" s="55"/>
      <c r="AV625" s="55"/>
      <c r="AW625" s="55"/>
      <c r="AX625" s="55"/>
      <c r="AY625" s="55"/>
      <c r="AZ625" s="55"/>
      <c r="BA625" s="55"/>
      <c r="BB625" s="55"/>
      <c r="BC625" s="55"/>
      <c r="BD625" s="55"/>
    </row>
    <row r="626" spans="13:56" ht="14.25" customHeight="1">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55"/>
      <c r="AL626" s="55"/>
      <c r="AM626" s="55"/>
      <c r="AN626" s="55"/>
      <c r="AO626" s="55"/>
      <c r="AP626" s="55"/>
      <c r="AQ626" s="55"/>
      <c r="AR626" s="55"/>
      <c r="AS626" s="55"/>
      <c r="AT626" s="55"/>
      <c r="AU626" s="55"/>
      <c r="AV626" s="55"/>
      <c r="AW626" s="55"/>
      <c r="AX626" s="55"/>
      <c r="AY626" s="55"/>
      <c r="AZ626" s="55"/>
      <c r="BA626" s="55"/>
      <c r="BB626" s="55"/>
      <c r="BC626" s="55"/>
      <c r="BD626" s="55"/>
    </row>
    <row r="627" spans="13:56" ht="14.25" customHeight="1">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c r="AJ627" s="55"/>
      <c r="AK627" s="55"/>
      <c r="AL627" s="55"/>
      <c r="AM627" s="55"/>
      <c r="AN627" s="55"/>
      <c r="AO627" s="55"/>
      <c r="AP627" s="55"/>
      <c r="AQ627" s="55"/>
      <c r="AR627" s="55"/>
      <c r="AS627" s="55"/>
      <c r="AT627" s="55"/>
      <c r="AU627" s="55"/>
      <c r="AV627" s="55"/>
      <c r="AW627" s="55"/>
      <c r="AX627" s="55"/>
      <c r="AY627" s="55"/>
      <c r="AZ627" s="55"/>
      <c r="BA627" s="55"/>
      <c r="BB627" s="55"/>
      <c r="BC627" s="55"/>
      <c r="BD627" s="55"/>
    </row>
    <row r="628" spans="13:56" ht="14.25" customHeight="1">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c r="AJ628" s="55"/>
      <c r="AK628" s="55"/>
      <c r="AL628" s="55"/>
      <c r="AM628" s="55"/>
      <c r="AN628" s="55"/>
      <c r="AO628" s="55"/>
      <c r="AP628" s="55"/>
      <c r="AQ628" s="55"/>
      <c r="AR628" s="55"/>
      <c r="AS628" s="55"/>
      <c r="AT628" s="55"/>
      <c r="AU628" s="55"/>
      <c r="AV628" s="55"/>
      <c r="AW628" s="55"/>
      <c r="AX628" s="55"/>
      <c r="AY628" s="55"/>
      <c r="AZ628" s="55"/>
      <c r="BA628" s="55"/>
      <c r="BB628" s="55"/>
      <c r="BC628" s="55"/>
      <c r="BD628" s="55"/>
    </row>
    <row r="629" spans="13:56" ht="14.25" customHeight="1">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c r="AJ629" s="55"/>
      <c r="AK629" s="55"/>
      <c r="AL629" s="55"/>
      <c r="AM629" s="55"/>
      <c r="AN629" s="55"/>
      <c r="AO629" s="55"/>
      <c r="AP629" s="55"/>
      <c r="AQ629" s="55"/>
      <c r="AR629" s="55"/>
      <c r="AS629" s="55"/>
      <c r="AT629" s="55"/>
      <c r="AU629" s="55"/>
      <c r="AV629" s="55"/>
      <c r="AW629" s="55"/>
      <c r="AX629" s="55"/>
      <c r="AY629" s="55"/>
      <c r="AZ629" s="55"/>
      <c r="BA629" s="55"/>
      <c r="BB629" s="55"/>
      <c r="BC629" s="55"/>
      <c r="BD629" s="55"/>
    </row>
    <row r="630" spans="13:56" ht="14.25" customHeight="1">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c r="AJ630" s="55"/>
      <c r="AK630" s="55"/>
      <c r="AL630" s="55"/>
      <c r="AM630" s="55"/>
      <c r="AN630" s="55"/>
      <c r="AO630" s="55"/>
      <c r="AP630" s="55"/>
      <c r="AQ630" s="55"/>
      <c r="AR630" s="55"/>
      <c r="AS630" s="55"/>
      <c r="AT630" s="55"/>
      <c r="AU630" s="55"/>
      <c r="AV630" s="55"/>
      <c r="AW630" s="55"/>
      <c r="AX630" s="55"/>
      <c r="AY630" s="55"/>
      <c r="AZ630" s="55"/>
      <c r="BA630" s="55"/>
      <c r="BB630" s="55"/>
      <c r="BC630" s="55"/>
      <c r="BD630" s="55"/>
    </row>
    <row r="631" spans="13:56" ht="14.25" customHeight="1">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55"/>
      <c r="AL631" s="55"/>
      <c r="AM631" s="55"/>
      <c r="AN631" s="55"/>
      <c r="AO631" s="55"/>
      <c r="AP631" s="55"/>
      <c r="AQ631" s="55"/>
      <c r="AR631" s="55"/>
      <c r="AS631" s="55"/>
      <c r="AT631" s="55"/>
      <c r="AU631" s="55"/>
      <c r="AV631" s="55"/>
      <c r="AW631" s="55"/>
      <c r="AX631" s="55"/>
      <c r="AY631" s="55"/>
      <c r="AZ631" s="55"/>
      <c r="BA631" s="55"/>
      <c r="BB631" s="55"/>
      <c r="BC631" s="55"/>
      <c r="BD631" s="55"/>
    </row>
    <row r="632" spans="13:56" ht="14.25" customHeight="1">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c r="AJ632" s="55"/>
      <c r="AK632" s="55"/>
      <c r="AL632" s="55"/>
      <c r="AM632" s="55"/>
      <c r="AN632" s="55"/>
      <c r="AO632" s="55"/>
      <c r="AP632" s="55"/>
      <c r="AQ632" s="55"/>
      <c r="AR632" s="55"/>
      <c r="AS632" s="55"/>
      <c r="AT632" s="55"/>
      <c r="AU632" s="55"/>
      <c r="AV632" s="55"/>
      <c r="AW632" s="55"/>
      <c r="AX632" s="55"/>
      <c r="AY632" s="55"/>
      <c r="AZ632" s="55"/>
      <c r="BA632" s="55"/>
      <c r="BB632" s="55"/>
      <c r="BC632" s="55"/>
      <c r="BD632" s="55"/>
    </row>
    <row r="633" spans="13:56" ht="14.25" customHeight="1">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c r="AJ633" s="55"/>
      <c r="AK633" s="55"/>
      <c r="AL633" s="55"/>
      <c r="AM633" s="55"/>
      <c r="AN633" s="55"/>
      <c r="AO633" s="55"/>
      <c r="AP633" s="55"/>
      <c r="AQ633" s="55"/>
      <c r="AR633" s="55"/>
      <c r="AS633" s="55"/>
      <c r="AT633" s="55"/>
      <c r="AU633" s="55"/>
      <c r="AV633" s="55"/>
      <c r="AW633" s="55"/>
      <c r="AX633" s="55"/>
      <c r="AY633" s="55"/>
      <c r="AZ633" s="55"/>
      <c r="BA633" s="55"/>
      <c r="BB633" s="55"/>
      <c r="BC633" s="55"/>
      <c r="BD633" s="55"/>
    </row>
    <row r="634" spans="13:56" ht="14.25" customHeight="1">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c r="AJ634" s="55"/>
      <c r="AK634" s="55"/>
      <c r="AL634" s="55"/>
      <c r="AM634" s="55"/>
      <c r="AN634" s="55"/>
      <c r="AO634" s="55"/>
      <c r="AP634" s="55"/>
      <c r="AQ634" s="55"/>
      <c r="AR634" s="55"/>
      <c r="AS634" s="55"/>
      <c r="AT634" s="55"/>
      <c r="AU634" s="55"/>
      <c r="AV634" s="55"/>
      <c r="AW634" s="55"/>
      <c r="AX634" s="55"/>
      <c r="AY634" s="55"/>
      <c r="AZ634" s="55"/>
      <c r="BA634" s="55"/>
      <c r="BB634" s="55"/>
      <c r="BC634" s="55"/>
      <c r="BD634" s="55"/>
    </row>
    <row r="635" spans="13:56" ht="14.25" customHeight="1">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c r="AJ635" s="55"/>
      <c r="AK635" s="55"/>
      <c r="AL635" s="55"/>
      <c r="AM635" s="55"/>
      <c r="AN635" s="55"/>
      <c r="AO635" s="55"/>
      <c r="AP635" s="55"/>
      <c r="AQ635" s="55"/>
      <c r="AR635" s="55"/>
      <c r="AS635" s="55"/>
      <c r="AT635" s="55"/>
      <c r="AU635" s="55"/>
      <c r="AV635" s="55"/>
      <c r="AW635" s="55"/>
      <c r="AX635" s="55"/>
      <c r="AY635" s="55"/>
      <c r="AZ635" s="55"/>
      <c r="BA635" s="55"/>
      <c r="BB635" s="55"/>
      <c r="BC635" s="55"/>
      <c r="BD635" s="55"/>
    </row>
    <row r="636" spans="13:56" ht="14.25" customHeight="1">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c r="AJ636" s="55"/>
      <c r="AK636" s="55"/>
      <c r="AL636" s="55"/>
      <c r="AM636" s="55"/>
      <c r="AN636" s="55"/>
      <c r="AO636" s="55"/>
      <c r="AP636" s="55"/>
      <c r="AQ636" s="55"/>
      <c r="AR636" s="55"/>
      <c r="AS636" s="55"/>
      <c r="AT636" s="55"/>
      <c r="AU636" s="55"/>
      <c r="AV636" s="55"/>
      <c r="AW636" s="55"/>
      <c r="AX636" s="55"/>
      <c r="AY636" s="55"/>
      <c r="AZ636" s="55"/>
      <c r="BA636" s="55"/>
      <c r="BB636" s="55"/>
      <c r="BC636" s="55"/>
      <c r="BD636" s="55"/>
    </row>
    <row r="637" spans="13:56" ht="14.25" customHeight="1">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55"/>
      <c r="AL637" s="55"/>
      <c r="AM637" s="55"/>
      <c r="AN637" s="55"/>
      <c r="AO637" s="55"/>
      <c r="AP637" s="55"/>
      <c r="AQ637" s="55"/>
      <c r="AR637" s="55"/>
      <c r="AS637" s="55"/>
      <c r="AT637" s="55"/>
      <c r="AU637" s="55"/>
      <c r="AV637" s="55"/>
      <c r="AW637" s="55"/>
      <c r="AX637" s="55"/>
      <c r="AY637" s="55"/>
      <c r="AZ637" s="55"/>
      <c r="BA637" s="55"/>
      <c r="BB637" s="55"/>
      <c r="BC637" s="55"/>
      <c r="BD637" s="55"/>
    </row>
    <row r="638" spans="13:56" ht="14.25" customHeight="1">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55"/>
      <c r="AL638" s="55"/>
      <c r="AM638" s="55"/>
      <c r="AN638" s="55"/>
      <c r="AO638" s="55"/>
      <c r="AP638" s="55"/>
      <c r="AQ638" s="55"/>
      <c r="AR638" s="55"/>
      <c r="AS638" s="55"/>
      <c r="AT638" s="55"/>
      <c r="AU638" s="55"/>
      <c r="AV638" s="55"/>
      <c r="AW638" s="55"/>
      <c r="AX638" s="55"/>
      <c r="AY638" s="55"/>
      <c r="AZ638" s="55"/>
      <c r="BA638" s="55"/>
      <c r="BB638" s="55"/>
      <c r="BC638" s="55"/>
      <c r="BD638" s="55"/>
    </row>
    <row r="639" spans="13:56" ht="14.25" customHeight="1">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c r="AJ639" s="55"/>
      <c r="AK639" s="55"/>
      <c r="AL639" s="55"/>
      <c r="AM639" s="55"/>
      <c r="AN639" s="55"/>
      <c r="AO639" s="55"/>
      <c r="AP639" s="55"/>
      <c r="AQ639" s="55"/>
      <c r="AR639" s="55"/>
      <c r="AS639" s="55"/>
      <c r="AT639" s="55"/>
      <c r="AU639" s="55"/>
      <c r="AV639" s="55"/>
      <c r="AW639" s="55"/>
      <c r="AX639" s="55"/>
      <c r="AY639" s="55"/>
      <c r="AZ639" s="55"/>
      <c r="BA639" s="55"/>
      <c r="BB639" s="55"/>
      <c r="BC639" s="55"/>
      <c r="BD639" s="55"/>
    </row>
    <row r="640" spans="13:56" ht="14.25" customHeight="1">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c r="AJ640" s="55"/>
      <c r="AK640" s="55"/>
      <c r="AL640" s="55"/>
      <c r="AM640" s="55"/>
      <c r="AN640" s="55"/>
      <c r="AO640" s="55"/>
      <c r="AP640" s="55"/>
      <c r="AQ640" s="55"/>
      <c r="AR640" s="55"/>
      <c r="AS640" s="55"/>
      <c r="AT640" s="55"/>
      <c r="AU640" s="55"/>
      <c r="AV640" s="55"/>
      <c r="AW640" s="55"/>
      <c r="AX640" s="55"/>
      <c r="AY640" s="55"/>
      <c r="AZ640" s="55"/>
      <c r="BA640" s="55"/>
      <c r="BB640" s="55"/>
      <c r="BC640" s="55"/>
      <c r="BD640" s="55"/>
    </row>
    <row r="641" spans="13:56" ht="14.25" customHeight="1">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c r="AJ641" s="55"/>
      <c r="AK641" s="55"/>
      <c r="AL641" s="55"/>
      <c r="AM641" s="55"/>
      <c r="AN641" s="55"/>
      <c r="AO641" s="55"/>
      <c r="AP641" s="55"/>
      <c r="AQ641" s="55"/>
      <c r="AR641" s="55"/>
      <c r="AS641" s="55"/>
      <c r="AT641" s="55"/>
      <c r="AU641" s="55"/>
      <c r="AV641" s="55"/>
      <c r="AW641" s="55"/>
      <c r="AX641" s="55"/>
      <c r="AY641" s="55"/>
      <c r="AZ641" s="55"/>
      <c r="BA641" s="55"/>
      <c r="BB641" s="55"/>
      <c r="BC641" s="55"/>
      <c r="BD641" s="55"/>
    </row>
    <row r="642" spans="13:56" ht="14.25" customHeight="1">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c r="AJ642" s="55"/>
      <c r="AK642" s="55"/>
      <c r="AL642" s="55"/>
      <c r="AM642" s="55"/>
      <c r="AN642" s="55"/>
      <c r="AO642" s="55"/>
      <c r="AP642" s="55"/>
      <c r="AQ642" s="55"/>
      <c r="AR642" s="55"/>
      <c r="AS642" s="55"/>
      <c r="AT642" s="55"/>
      <c r="AU642" s="55"/>
      <c r="AV642" s="55"/>
      <c r="AW642" s="55"/>
      <c r="AX642" s="55"/>
      <c r="AY642" s="55"/>
      <c r="AZ642" s="55"/>
      <c r="BA642" s="55"/>
      <c r="BB642" s="55"/>
      <c r="BC642" s="55"/>
      <c r="BD642" s="55"/>
    </row>
    <row r="643" spans="13:56" ht="14.25" customHeight="1">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c r="AJ643" s="55"/>
      <c r="AK643" s="55"/>
      <c r="AL643" s="55"/>
      <c r="AM643" s="55"/>
      <c r="AN643" s="55"/>
      <c r="AO643" s="55"/>
      <c r="AP643" s="55"/>
      <c r="AQ643" s="55"/>
      <c r="AR643" s="55"/>
      <c r="AS643" s="55"/>
      <c r="AT643" s="55"/>
      <c r="AU643" s="55"/>
      <c r="AV643" s="55"/>
      <c r="AW643" s="55"/>
      <c r="AX643" s="55"/>
      <c r="AY643" s="55"/>
      <c r="AZ643" s="55"/>
      <c r="BA643" s="55"/>
      <c r="BB643" s="55"/>
      <c r="BC643" s="55"/>
      <c r="BD643" s="55"/>
    </row>
    <row r="644" spans="13:56" ht="14.25" customHeight="1">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c r="AJ644" s="55"/>
      <c r="AK644" s="55"/>
      <c r="AL644" s="55"/>
      <c r="AM644" s="55"/>
      <c r="AN644" s="55"/>
      <c r="AO644" s="55"/>
      <c r="AP644" s="55"/>
      <c r="AQ644" s="55"/>
      <c r="AR644" s="55"/>
      <c r="AS644" s="55"/>
      <c r="AT644" s="55"/>
      <c r="AU644" s="55"/>
      <c r="AV644" s="55"/>
      <c r="AW644" s="55"/>
      <c r="AX644" s="55"/>
      <c r="AY644" s="55"/>
      <c r="AZ644" s="55"/>
      <c r="BA644" s="55"/>
      <c r="BB644" s="55"/>
      <c r="BC644" s="55"/>
      <c r="BD644" s="55"/>
    </row>
    <row r="645" spans="13:56" ht="14.25" customHeight="1">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c r="AJ645" s="55"/>
      <c r="AK645" s="55"/>
      <c r="AL645" s="55"/>
      <c r="AM645" s="55"/>
      <c r="AN645" s="55"/>
      <c r="AO645" s="55"/>
      <c r="AP645" s="55"/>
      <c r="AQ645" s="55"/>
      <c r="AR645" s="55"/>
      <c r="AS645" s="55"/>
      <c r="AT645" s="55"/>
      <c r="AU645" s="55"/>
      <c r="AV645" s="55"/>
      <c r="AW645" s="55"/>
      <c r="AX645" s="55"/>
      <c r="AY645" s="55"/>
      <c r="AZ645" s="55"/>
      <c r="BA645" s="55"/>
      <c r="BB645" s="55"/>
      <c r="BC645" s="55"/>
      <c r="BD645" s="55"/>
    </row>
    <row r="646" spans="13:56" ht="14.25" customHeight="1">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c r="AJ646" s="55"/>
      <c r="AK646" s="55"/>
      <c r="AL646" s="55"/>
      <c r="AM646" s="55"/>
      <c r="AN646" s="55"/>
      <c r="AO646" s="55"/>
      <c r="AP646" s="55"/>
      <c r="AQ646" s="55"/>
      <c r="AR646" s="55"/>
      <c r="AS646" s="55"/>
      <c r="AT646" s="55"/>
      <c r="AU646" s="55"/>
      <c r="AV646" s="55"/>
      <c r="AW646" s="55"/>
      <c r="AX646" s="55"/>
      <c r="AY646" s="55"/>
      <c r="AZ646" s="55"/>
      <c r="BA646" s="55"/>
      <c r="BB646" s="55"/>
      <c r="BC646" s="55"/>
      <c r="BD646" s="55"/>
    </row>
    <row r="647" spans="13:56" ht="14.25" customHeight="1">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c r="AJ647" s="55"/>
      <c r="AK647" s="55"/>
      <c r="AL647" s="55"/>
      <c r="AM647" s="55"/>
      <c r="AN647" s="55"/>
      <c r="AO647" s="55"/>
      <c r="AP647" s="55"/>
      <c r="AQ647" s="55"/>
      <c r="AR647" s="55"/>
      <c r="AS647" s="55"/>
      <c r="AT647" s="55"/>
      <c r="AU647" s="55"/>
      <c r="AV647" s="55"/>
      <c r="AW647" s="55"/>
      <c r="AX647" s="55"/>
      <c r="AY647" s="55"/>
      <c r="AZ647" s="55"/>
      <c r="BA647" s="55"/>
      <c r="BB647" s="55"/>
      <c r="BC647" s="55"/>
      <c r="BD647" s="55"/>
    </row>
    <row r="648" spans="13:56" ht="14.25" customHeight="1">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55"/>
      <c r="AL648" s="55"/>
      <c r="AM648" s="55"/>
      <c r="AN648" s="55"/>
      <c r="AO648" s="55"/>
      <c r="AP648" s="55"/>
      <c r="AQ648" s="55"/>
      <c r="AR648" s="55"/>
      <c r="AS648" s="55"/>
      <c r="AT648" s="55"/>
      <c r="AU648" s="55"/>
      <c r="AV648" s="55"/>
      <c r="AW648" s="55"/>
      <c r="AX648" s="55"/>
      <c r="AY648" s="55"/>
      <c r="AZ648" s="55"/>
      <c r="BA648" s="55"/>
      <c r="BB648" s="55"/>
      <c r="BC648" s="55"/>
      <c r="BD648" s="55"/>
    </row>
    <row r="649" spans="13:56" ht="14.25" customHeight="1">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55"/>
      <c r="AL649" s="55"/>
      <c r="AM649" s="55"/>
      <c r="AN649" s="55"/>
      <c r="AO649" s="55"/>
      <c r="AP649" s="55"/>
      <c r="AQ649" s="55"/>
      <c r="AR649" s="55"/>
      <c r="AS649" s="55"/>
      <c r="AT649" s="55"/>
      <c r="AU649" s="55"/>
      <c r="AV649" s="55"/>
      <c r="AW649" s="55"/>
      <c r="AX649" s="55"/>
      <c r="AY649" s="55"/>
      <c r="AZ649" s="55"/>
      <c r="BA649" s="55"/>
      <c r="BB649" s="55"/>
      <c r="BC649" s="55"/>
      <c r="BD649" s="55"/>
    </row>
    <row r="650" spans="13:56" ht="14.25" customHeight="1">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c r="AJ650" s="55"/>
      <c r="AK650" s="55"/>
      <c r="AL650" s="55"/>
      <c r="AM650" s="55"/>
      <c r="AN650" s="55"/>
      <c r="AO650" s="55"/>
      <c r="AP650" s="55"/>
      <c r="AQ650" s="55"/>
      <c r="AR650" s="55"/>
      <c r="AS650" s="55"/>
      <c r="AT650" s="55"/>
      <c r="AU650" s="55"/>
      <c r="AV650" s="55"/>
      <c r="AW650" s="55"/>
      <c r="AX650" s="55"/>
      <c r="AY650" s="55"/>
      <c r="AZ650" s="55"/>
      <c r="BA650" s="55"/>
      <c r="BB650" s="55"/>
      <c r="BC650" s="55"/>
      <c r="BD650" s="55"/>
    </row>
    <row r="651" spans="13:56" ht="14.25" customHeight="1">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55"/>
      <c r="AL651" s="55"/>
      <c r="AM651" s="55"/>
      <c r="AN651" s="55"/>
      <c r="AO651" s="55"/>
      <c r="AP651" s="55"/>
      <c r="AQ651" s="55"/>
      <c r="AR651" s="55"/>
      <c r="AS651" s="55"/>
      <c r="AT651" s="55"/>
      <c r="AU651" s="55"/>
      <c r="AV651" s="55"/>
      <c r="AW651" s="55"/>
      <c r="AX651" s="55"/>
      <c r="AY651" s="55"/>
      <c r="AZ651" s="55"/>
      <c r="BA651" s="55"/>
      <c r="BB651" s="55"/>
      <c r="BC651" s="55"/>
      <c r="BD651" s="55"/>
    </row>
    <row r="652" spans="13:56" ht="14.25" customHeight="1">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c r="AJ652" s="55"/>
      <c r="AK652" s="55"/>
      <c r="AL652" s="55"/>
      <c r="AM652" s="55"/>
      <c r="AN652" s="55"/>
      <c r="AO652" s="55"/>
      <c r="AP652" s="55"/>
      <c r="AQ652" s="55"/>
      <c r="AR652" s="55"/>
      <c r="AS652" s="55"/>
      <c r="AT652" s="55"/>
      <c r="AU652" s="55"/>
      <c r="AV652" s="55"/>
      <c r="AW652" s="55"/>
      <c r="AX652" s="55"/>
      <c r="AY652" s="55"/>
      <c r="AZ652" s="55"/>
      <c r="BA652" s="55"/>
      <c r="BB652" s="55"/>
      <c r="BC652" s="55"/>
      <c r="BD652" s="55"/>
    </row>
    <row r="653" spans="13:56" ht="14.25" customHeight="1">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c r="AJ653" s="55"/>
      <c r="AK653" s="55"/>
      <c r="AL653" s="55"/>
      <c r="AM653" s="55"/>
      <c r="AN653" s="55"/>
      <c r="AO653" s="55"/>
      <c r="AP653" s="55"/>
      <c r="AQ653" s="55"/>
      <c r="AR653" s="55"/>
      <c r="AS653" s="55"/>
      <c r="AT653" s="55"/>
      <c r="AU653" s="55"/>
      <c r="AV653" s="55"/>
      <c r="AW653" s="55"/>
      <c r="AX653" s="55"/>
      <c r="AY653" s="55"/>
      <c r="AZ653" s="55"/>
      <c r="BA653" s="55"/>
      <c r="BB653" s="55"/>
      <c r="BC653" s="55"/>
      <c r="BD653" s="55"/>
    </row>
    <row r="654" spans="13:56" ht="14.25" customHeight="1">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c r="AJ654" s="55"/>
      <c r="AK654" s="55"/>
      <c r="AL654" s="55"/>
      <c r="AM654" s="55"/>
      <c r="AN654" s="55"/>
      <c r="AO654" s="55"/>
      <c r="AP654" s="55"/>
      <c r="AQ654" s="55"/>
      <c r="AR654" s="55"/>
      <c r="AS654" s="55"/>
      <c r="AT654" s="55"/>
      <c r="AU654" s="55"/>
      <c r="AV654" s="55"/>
      <c r="AW654" s="55"/>
      <c r="AX654" s="55"/>
      <c r="AY654" s="55"/>
      <c r="AZ654" s="55"/>
      <c r="BA654" s="55"/>
      <c r="BB654" s="55"/>
      <c r="BC654" s="55"/>
      <c r="BD654" s="55"/>
    </row>
    <row r="655" spans="13:56" ht="14.25" customHeight="1">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c r="AJ655" s="55"/>
      <c r="AK655" s="55"/>
      <c r="AL655" s="55"/>
      <c r="AM655" s="55"/>
      <c r="AN655" s="55"/>
      <c r="AO655" s="55"/>
      <c r="AP655" s="55"/>
      <c r="AQ655" s="55"/>
      <c r="AR655" s="55"/>
      <c r="AS655" s="55"/>
      <c r="AT655" s="55"/>
      <c r="AU655" s="55"/>
      <c r="AV655" s="55"/>
      <c r="AW655" s="55"/>
      <c r="AX655" s="55"/>
      <c r="AY655" s="55"/>
      <c r="AZ655" s="55"/>
      <c r="BA655" s="55"/>
      <c r="BB655" s="55"/>
      <c r="BC655" s="55"/>
      <c r="BD655" s="55"/>
    </row>
    <row r="656" spans="13:56" ht="14.25" customHeight="1">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c r="AJ656" s="55"/>
      <c r="AK656" s="55"/>
      <c r="AL656" s="55"/>
      <c r="AM656" s="55"/>
      <c r="AN656" s="55"/>
      <c r="AO656" s="55"/>
      <c r="AP656" s="55"/>
      <c r="AQ656" s="55"/>
      <c r="AR656" s="55"/>
      <c r="AS656" s="55"/>
      <c r="AT656" s="55"/>
      <c r="AU656" s="55"/>
      <c r="AV656" s="55"/>
      <c r="AW656" s="55"/>
      <c r="AX656" s="55"/>
      <c r="AY656" s="55"/>
      <c r="AZ656" s="55"/>
      <c r="BA656" s="55"/>
      <c r="BB656" s="55"/>
      <c r="BC656" s="55"/>
      <c r="BD656" s="55"/>
    </row>
    <row r="657" spans="13:56" ht="14.25" customHeight="1">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c r="AJ657" s="55"/>
      <c r="AK657" s="55"/>
      <c r="AL657" s="55"/>
      <c r="AM657" s="55"/>
      <c r="AN657" s="55"/>
      <c r="AO657" s="55"/>
      <c r="AP657" s="55"/>
      <c r="AQ657" s="55"/>
      <c r="AR657" s="55"/>
      <c r="AS657" s="55"/>
      <c r="AT657" s="55"/>
      <c r="AU657" s="55"/>
      <c r="AV657" s="55"/>
      <c r="AW657" s="55"/>
      <c r="AX657" s="55"/>
      <c r="AY657" s="55"/>
      <c r="AZ657" s="55"/>
      <c r="BA657" s="55"/>
      <c r="BB657" s="55"/>
      <c r="BC657" s="55"/>
      <c r="BD657" s="55"/>
    </row>
    <row r="658" spans="13:56" ht="14.25" customHeight="1">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c r="AJ658" s="55"/>
      <c r="AK658" s="55"/>
      <c r="AL658" s="55"/>
      <c r="AM658" s="55"/>
      <c r="AN658" s="55"/>
      <c r="AO658" s="55"/>
      <c r="AP658" s="55"/>
      <c r="AQ658" s="55"/>
      <c r="AR658" s="55"/>
      <c r="AS658" s="55"/>
      <c r="AT658" s="55"/>
      <c r="AU658" s="55"/>
      <c r="AV658" s="55"/>
      <c r="AW658" s="55"/>
      <c r="AX658" s="55"/>
      <c r="AY658" s="55"/>
      <c r="AZ658" s="55"/>
      <c r="BA658" s="55"/>
      <c r="BB658" s="55"/>
      <c r="BC658" s="55"/>
      <c r="BD658" s="55"/>
    </row>
    <row r="659" spans="13:56" ht="14.25" customHeight="1">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c r="AJ659" s="55"/>
      <c r="AK659" s="55"/>
      <c r="AL659" s="55"/>
      <c r="AM659" s="55"/>
      <c r="AN659" s="55"/>
      <c r="AO659" s="55"/>
      <c r="AP659" s="55"/>
      <c r="AQ659" s="55"/>
      <c r="AR659" s="55"/>
      <c r="AS659" s="55"/>
      <c r="AT659" s="55"/>
      <c r="AU659" s="55"/>
      <c r="AV659" s="55"/>
      <c r="AW659" s="55"/>
      <c r="AX659" s="55"/>
      <c r="AY659" s="55"/>
      <c r="AZ659" s="55"/>
      <c r="BA659" s="55"/>
      <c r="BB659" s="55"/>
      <c r="BC659" s="55"/>
      <c r="BD659" s="55"/>
    </row>
    <row r="660" spans="13:56" ht="14.25" customHeight="1">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c r="AJ660" s="55"/>
      <c r="AK660" s="55"/>
      <c r="AL660" s="55"/>
      <c r="AM660" s="55"/>
      <c r="AN660" s="55"/>
      <c r="AO660" s="55"/>
      <c r="AP660" s="55"/>
      <c r="AQ660" s="55"/>
      <c r="AR660" s="55"/>
      <c r="AS660" s="55"/>
      <c r="AT660" s="55"/>
      <c r="AU660" s="55"/>
      <c r="AV660" s="55"/>
      <c r="AW660" s="55"/>
      <c r="AX660" s="55"/>
      <c r="AY660" s="55"/>
      <c r="AZ660" s="55"/>
      <c r="BA660" s="55"/>
      <c r="BB660" s="55"/>
      <c r="BC660" s="55"/>
      <c r="BD660" s="55"/>
    </row>
    <row r="661" spans="13:56" ht="14.25" customHeight="1">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c r="AJ661" s="55"/>
      <c r="AK661" s="55"/>
      <c r="AL661" s="55"/>
      <c r="AM661" s="55"/>
      <c r="AN661" s="55"/>
      <c r="AO661" s="55"/>
      <c r="AP661" s="55"/>
      <c r="AQ661" s="55"/>
      <c r="AR661" s="55"/>
      <c r="AS661" s="55"/>
      <c r="AT661" s="55"/>
      <c r="AU661" s="55"/>
      <c r="AV661" s="55"/>
      <c r="AW661" s="55"/>
      <c r="AX661" s="55"/>
      <c r="AY661" s="55"/>
      <c r="AZ661" s="55"/>
      <c r="BA661" s="55"/>
      <c r="BB661" s="55"/>
      <c r="BC661" s="55"/>
      <c r="BD661" s="55"/>
    </row>
    <row r="662" spans="13:56" ht="14.25" customHeight="1">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c r="AJ662" s="55"/>
      <c r="AK662" s="55"/>
      <c r="AL662" s="55"/>
      <c r="AM662" s="55"/>
      <c r="AN662" s="55"/>
      <c r="AO662" s="55"/>
      <c r="AP662" s="55"/>
      <c r="AQ662" s="55"/>
      <c r="AR662" s="55"/>
      <c r="AS662" s="55"/>
      <c r="AT662" s="55"/>
      <c r="AU662" s="55"/>
      <c r="AV662" s="55"/>
      <c r="AW662" s="55"/>
      <c r="AX662" s="55"/>
      <c r="AY662" s="55"/>
      <c r="AZ662" s="55"/>
      <c r="BA662" s="55"/>
      <c r="BB662" s="55"/>
      <c r="BC662" s="55"/>
      <c r="BD662" s="55"/>
    </row>
    <row r="663" spans="13:56" ht="14.25" customHeight="1">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c r="AJ663" s="55"/>
      <c r="AK663" s="55"/>
      <c r="AL663" s="55"/>
      <c r="AM663" s="55"/>
      <c r="AN663" s="55"/>
      <c r="AO663" s="55"/>
      <c r="AP663" s="55"/>
      <c r="AQ663" s="55"/>
      <c r="AR663" s="55"/>
      <c r="AS663" s="55"/>
      <c r="AT663" s="55"/>
      <c r="AU663" s="55"/>
      <c r="AV663" s="55"/>
      <c r="AW663" s="55"/>
      <c r="AX663" s="55"/>
      <c r="AY663" s="55"/>
      <c r="AZ663" s="55"/>
      <c r="BA663" s="55"/>
      <c r="BB663" s="55"/>
      <c r="BC663" s="55"/>
      <c r="BD663" s="55"/>
    </row>
    <row r="664" spans="13:56" ht="14.25" customHeight="1">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c r="AJ664" s="55"/>
      <c r="AK664" s="55"/>
      <c r="AL664" s="55"/>
      <c r="AM664" s="55"/>
      <c r="AN664" s="55"/>
      <c r="AO664" s="55"/>
      <c r="AP664" s="55"/>
      <c r="AQ664" s="55"/>
      <c r="AR664" s="55"/>
      <c r="AS664" s="55"/>
      <c r="AT664" s="55"/>
      <c r="AU664" s="55"/>
      <c r="AV664" s="55"/>
      <c r="AW664" s="55"/>
      <c r="AX664" s="55"/>
      <c r="AY664" s="55"/>
      <c r="AZ664" s="55"/>
      <c r="BA664" s="55"/>
      <c r="BB664" s="55"/>
      <c r="BC664" s="55"/>
      <c r="BD664" s="55"/>
    </row>
    <row r="665" spans="13:56" ht="14.25" customHeight="1">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c r="AJ665" s="55"/>
      <c r="AK665" s="55"/>
      <c r="AL665" s="55"/>
      <c r="AM665" s="55"/>
      <c r="AN665" s="55"/>
      <c r="AO665" s="55"/>
      <c r="AP665" s="55"/>
      <c r="AQ665" s="55"/>
      <c r="AR665" s="55"/>
      <c r="AS665" s="55"/>
      <c r="AT665" s="55"/>
      <c r="AU665" s="55"/>
      <c r="AV665" s="55"/>
      <c r="AW665" s="55"/>
      <c r="AX665" s="55"/>
      <c r="AY665" s="55"/>
      <c r="AZ665" s="55"/>
      <c r="BA665" s="55"/>
      <c r="BB665" s="55"/>
      <c r="BC665" s="55"/>
      <c r="BD665" s="55"/>
    </row>
    <row r="666" spans="13:56" ht="14.25" customHeight="1">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c r="AJ666" s="55"/>
      <c r="AK666" s="55"/>
      <c r="AL666" s="55"/>
      <c r="AM666" s="55"/>
      <c r="AN666" s="55"/>
      <c r="AO666" s="55"/>
      <c r="AP666" s="55"/>
      <c r="AQ666" s="55"/>
      <c r="AR666" s="55"/>
      <c r="AS666" s="55"/>
      <c r="AT666" s="55"/>
      <c r="AU666" s="55"/>
      <c r="AV666" s="55"/>
      <c r="AW666" s="55"/>
      <c r="AX666" s="55"/>
      <c r="AY666" s="55"/>
      <c r="AZ666" s="55"/>
      <c r="BA666" s="55"/>
      <c r="BB666" s="55"/>
      <c r="BC666" s="55"/>
      <c r="BD666" s="55"/>
    </row>
    <row r="667" spans="13:56" ht="14.25" customHeight="1">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c r="AJ667" s="55"/>
      <c r="AK667" s="55"/>
      <c r="AL667" s="55"/>
      <c r="AM667" s="55"/>
      <c r="AN667" s="55"/>
      <c r="AO667" s="55"/>
      <c r="AP667" s="55"/>
      <c r="AQ667" s="55"/>
      <c r="AR667" s="55"/>
      <c r="AS667" s="55"/>
      <c r="AT667" s="55"/>
      <c r="AU667" s="55"/>
      <c r="AV667" s="55"/>
      <c r="AW667" s="55"/>
      <c r="AX667" s="55"/>
      <c r="AY667" s="55"/>
      <c r="AZ667" s="55"/>
      <c r="BA667" s="55"/>
      <c r="BB667" s="55"/>
      <c r="BC667" s="55"/>
      <c r="BD667" s="55"/>
    </row>
    <row r="668" spans="13:56" ht="14.25" customHeight="1">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c r="AJ668" s="55"/>
      <c r="AK668" s="55"/>
      <c r="AL668" s="55"/>
      <c r="AM668" s="55"/>
      <c r="AN668" s="55"/>
      <c r="AO668" s="55"/>
      <c r="AP668" s="55"/>
      <c r="AQ668" s="55"/>
      <c r="AR668" s="55"/>
      <c r="AS668" s="55"/>
      <c r="AT668" s="55"/>
      <c r="AU668" s="55"/>
      <c r="AV668" s="55"/>
      <c r="AW668" s="55"/>
      <c r="AX668" s="55"/>
      <c r="AY668" s="55"/>
      <c r="AZ668" s="55"/>
      <c r="BA668" s="55"/>
      <c r="BB668" s="55"/>
      <c r="BC668" s="55"/>
      <c r="BD668" s="55"/>
    </row>
    <row r="669" spans="13:56" ht="14.25" customHeight="1">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c r="AJ669" s="55"/>
      <c r="AK669" s="55"/>
      <c r="AL669" s="55"/>
      <c r="AM669" s="55"/>
      <c r="AN669" s="55"/>
      <c r="AO669" s="55"/>
      <c r="AP669" s="55"/>
      <c r="AQ669" s="55"/>
      <c r="AR669" s="55"/>
      <c r="AS669" s="55"/>
      <c r="AT669" s="55"/>
      <c r="AU669" s="55"/>
      <c r="AV669" s="55"/>
      <c r="AW669" s="55"/>
      <c r="AX669" s="55"/>
      <c r="AY669" s="55"/>
      <c r="AZ669" s="55"/>
      <c r="BA669" s="55"/>
      <c r="BB669" s="55"/>
      <c r="BC669" s="55"/>
      <c r="BD669" s="55"/>
    </row>
    <row r="670" spans="13:56" ht="14.25" customHeight="1">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5"/>
      <c r="BD670" s="55"/>
    </row>
    <row r="671" spans="13:56" ht="14.25" customHeight="1">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5"/>
      <c r="BD671" s="55"/>
    </row>
    <row r="672" spans="13:56" ht="14.25" customHeight="1">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5"/>
      <c r="BD672" s="55"/>
    </row>
    <row r="673" spans="13:56" ht="14.25" customHeight="1">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55"/>
      <c r="BD673" s="55"/>
    </row>
    <row r="674" spans="13:56" ht="14.25" customHeight="1">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5"/>
      <c r="BD674" s="55"/>
    </row>
    <row r="675" spans="13:56" ht="14.25" customHeight="1">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55"/>
      <c r="BD675" s="55"/>
    </row>
    <row r="676" spans="13:56" ht="14.25" customHeight="1">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5"/>
      <c r="BD676" s="55"/>
    </row>
    <row r="677" spans="13:56" ht="14.25" customHeight="1">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5"/>
      <c r="BD677" s="55"/>
    </row>
    <row r="678" spans="13:56" ht="14.25" customHeight="1">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5"/>
      <c r="BD678" s="55"/>
    </row>
    <row r="679" spans="13:56" ht="14.25" customHeight="1">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55"/>
      <c r="BD679" s="55"/>
    </row>
    <row r="680" spans="13:56" ht="14.25" customHeight="1">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5"/>
      <c r="BD680" s="55"/>
    </row>
    <row r="681" spans="13:56" ht="14.25" customHeight="1">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5"/>
      <c r="BD681" s="55"/>
    </row>
    <row r="682" spans="13:56" ht="14.25" customHeight="1">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5"/>
      <c r="BD682" s="55"/>
    </row>
    <row r="683" spans="13:56" ht="14.25" customHeight="1">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5"/>
      <c r="BD683" s="55"/>
    </row>
    <row r="684" spans="13:56" ht="14.25" customHeight="1">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c r="BB684" s="55"/>
      <c r="BC684" s="55"/>
      <c r="BD684" s="55"/>
    </row>
    <row r="685" spans="13:56" ht="14.25" customHeight="1">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5"/>
      <c r="BD685" s="55"/>
    </row>
    <row r="686" spans="13:56" ht="14.25" customHeight="1">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c r="AJ686" s="55"/>
      <c r="AK686" s="55"/>
      <c r="AL686" s="55"/>
      <c r="AM686" s="55"/>
      <c r="AN686" s="55"/>
      <c r="AO686" s="55"/>
      <c r="AP686" s="55"/>
      <c r="AQ686" s="55"/>
      <c r="AR686" s="55"/>
      <c r="AS686" s="55"/>
      <c r="AT686" s="55"/>
      <c r="AU686" s="55"/>
      <c r="AV686" s="55"/>
      <c r="AW686" s="55"/>
      <c r="AX686" s="55"/>
      <c r="AY686" s="55"/>
      <c r="AZ686" s="55"/>
      <c r="BA686" s="55"/>
      <c r="BB686" s="55"/>
      <c r="BC686" s="55"/>
      <c r="BD686" s="55"/>
    </row>
    <row r="687" spans="13:56" ht="14.25" customHeight="1">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c r="AJ687" s="55"/>
      <c r="AK687" s="55"/>
      <c r="AL687" s="55"/>
      <c r="AM687" s="55"/>
      <c r="AN687" s="55"/>
      <c r="AO687" s="55"/>
      <c r="AP687" s="55"/>
      <c r="AQ687" s="55"/>
      <c r="AR687" s="55"/>
      <c r="AS687" s="55"/>
      <c r="AT687" s="55"/>
      <c r="AU687" s="55"/>
      <c r="AV687" s="55"/>
      <c r="AW687" s="55"/>
      <c r="AX687" s="55"/>
      <c r="AY687" s="55"/>
      <c r="AZ687" s="55"/>
      <c r="BA687" s="55"/>
      <c r="BB687" s="55"/>
      <c r="BC687" s="55"/>
      <c r="BD687" s="55"/>
    </row>
    <row r="688" spans="13:56" ht="14.25" customHeight="1">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5"/>
      <c r="BD688" s="55"/>
    </row>
    <row r="689" spans="13:56" ht="14.25" customHeight="1">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c r="AJ689" s="55"/>
      <c r="AK689" s="55"/>
      <c r="AL689" s="55"/>
      <c r="AM689" s="55"/>
      <c r="AN689" s="55"/>
      <c r="AO689" s="55"/>
      <c r="AP689" s="55"/>
      <c r="AQ689" s="55"/>
      <c r="AR689" s="55"/>
      <c r="AS689" s="55"/>
      <c r="AT689" s="55"/>
      <c r="AU689" s="55"/>
      <c r="AV689" s="55"/>
      <c r="AW689" s="55"/>
      <c r="AX689" s="55"/>
      <c r="AY689" s="55"/>
      <c r="AZ689" s="55"/>
      <c r="BA689" s="55"/>
      <c r="BB689" s="55"/>
      <c r="BC689" s="55"/>
      <c r="BD689" s="55"/>
    </row>
    <row r="690" spans="13:56" ht="14.25" customHeight="1">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c r="AJ690" s="55"/>
      <c r="AK690" s="55"/>
      <c r="AL690" s="55"/>
      <c r="AM690" s="55"/>
      <c r="AN690" s="55"/>
      <c r="AO690" s="55"/>
      <c r="AP690" s="55"/>
      <c r="AQ690" s="55"/>
      <c r="AR690" s="55"/>
      <c r="AS690" s="55"/>
      <c r="AT690" s="55"/>
      <c r="AU690" s="55"/>
      <c r="AV690" s="55"/>
      <c r="AW690" s="55"/>
      <c r="AX690" s="55"/>
      <c r="AY690" s="55"/>
      <c r="AZ690" s="55"/>
      <c r="BA690" s="55"/>
      <c r="BB690" s="55"/>
      <c r="BC690" s="55"/>
      <c r="BD690" s="55"/>
    </row>
    <row r="691" spans="13:56" ht="14.25" customHeight="1">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55"/>
      <c r="AL691" s="55"/>
      <c r="AM691" s="55"/>
      <c r="AN691" s="55"/>
      <c r="AO691" s="55"/>
      <c r="AP691" s="55"/>
      <c r="AQ691" s="55"/>
      <c r="AR691" s="55"/>
      <c r="AS691" s="55"/>
      <c r="AT691" s="55"/>
      <c r="AU691" s="55"/>
      <c r="AV691" s="55"/>
      <c r="AW691" s="55"/>
      <c r="AX691" s="55"/>
      <c r="AY691" s="55"/>
      <c r="AZ691" s="55"/>
      <c r="BA691" s="55"/>
      <c r="BB691" s="55"/>
      <c r="BC691" s="55"/>
      <c r="BD691" s="55"/>
    </row>
    <row r="692" spans="13:56" ht="14.25" customHeight="1">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c r="AJ692" s="55"/>
      <c r="AK692" s="55"/>
      <c r="AL692" s="55"/>
      <c r="AM692" s="55"/>
      <c r="AN692" s="55"/>
      <c r="AO692" s="55"/>
      <c r="AP692" s="55"/>
      <c r="AQ692" s="55"/>
      <c r="AR692" s="55"/>
      <c r="AS692" s="55"/>
      <c r="AT692" s="55"/>
      <c r="AU692" s="55"/>
      <c r="AV692" s="55"/>
      <c r="AW692" s="55"/>
      <c r="AX692" s="55"/>
      <c r="AY692" s="55"/>
      <c r="AZ692" s="55"/>
      <c r="BA692" s="55"/>
      <c r="BB692" s="55"/>
      <c r="BC692" s="55"/>
      <c r="BD692" s="55"/>
    </row>
    <row r="693" spans="13:56" ht="14.25" customHeight="1">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c r="AJ693" s="55"/>
      <c r="AK693" s="55"/>
      <c r="AL693" s="55"/>
      <c r="AM693" s="55"/>
      <c r="AN693" s="55"/>
      <c r="AO693" s="55"/>
      <c r="AP693" s="55"/>
      <c r="AQ693" s="55"/>
      <c r="AR693" s="55"/>
      <c r="AS693" s="55"/>
      <c r="AT693" s="55"/>
      <c r="AU693" s="55"/>
      <c r="AV693" s="55"/>
      <c r="AW693" s="55"/>
      <c r="AX693" s="55"/>
      <c r="AY693" s="55"/>
      <c r="AZ693" s="55"/>
      <c r="BA693" s="55"/>
      <c r="BB693" s="55"/>
      <c r="BC693" s="55"/>
      <c r="BD693" s="55"/>
    </row>
    <row r="694" spans="13:56" ht="14.25" customHeight="1">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c r="AJ694" s="55"/>
      <c r="AK694" s="55"/>
      <c r="AL694" s="55"/>
      <c r="AM694" s="55"/>
      <c r="AN694" s="55"/>
      <c r="AO694" s="55"/>
      <c r="AP694" s="55"/>
      <c r="AQ694" s="55"/>
      <c r="AR694" s="55"/>
      <c r="AS694" s="55"/>
      <c r="AT694" s="55"/>
      <c r="AU694" s="55"/>
      <c r="AV694" s="55"/>
      <c r="AW694" s="55"/>
      <c r="AX694" s="55"/>
      <c r="AY694" s="55"/>
      <c r="AZ694" s="55"/>
      <c r="BA694" s="55"/>
      <c r="BB694" s="55"/>
      <c r="BC694" s="55"/>
      <c r="BD694" s="55"/>
    </row>
    <row r="695" spans="13:56" ht="14.25" customHeight="1">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c r="AJ695" s="55"/>
      <c r="AK695" s="55"/>
      <c r="AL695" s="55"/>
      <c r="AM695" s="55"/>
      <c r="AN695" s="55"/>
      <c r="AO695" s="55"/>
      <c r="AP695" s="55"/>
      <c r="AQ695" s="55"/>
      <c r="AR695" s="55"/>
      <c r="AS695" s="55"/>
      <c r="AT695" s="55"/>
      <c r="AU695" s="55"/>
      <c r="AV695" s="55"/>
      <c r="AW695" s="55"/>
      <c r="AX695" s="55"/>
      <c r="AY695" s="55"/>
      <c r="AZ695" s="55"/>
      <c r="BA695" s="55"/>
      <c r="BB695" s="55"/>
      <c r="BC695" s="55"/>
      <c r="BD695" s="55"/>
    </row>
    <row r="696" spans="13:56" ht="14.25" customHeight="1">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c r="AJ696" s="55"/>
      <c r="AK696" s="55"/>
      <c r="AL696" s="55"/>
      <c r="AM696" s="55"/>
      <c r="AN696" s="55"/>
      <c r="AO696" s="55"/>
      <c r="AP696" s="55"/>
      <c r="AQ696" s="55"/>
      <c r="AR696" s="55"/>
      <c r="AS696" s="55"/>
      <c r="AT696" s="55"/>
      <c r="AU696" s="55"/>
      <c r="AV696" s="55"/>
      <c r="AW696" s="55"/>
      <c r="AX696" s="55"/>
      <c r="AY696" s="55"/>
      <c r="AZ696" s="55"/>
      <c r="BA696" s="55"/>
      <c r="BB696" s="55"/>
      <c r="BC696" s="55"/>
      <c r="BD696" s="55"/>
    </row>
    <row r="697" spans="13:56" ht="14.25" customHeight="1">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c r="AJ697" s="55"/>
      <c r="AK697" s="55"/>
      <c r="AL697" s="55"/>
      <c r="AM697" s="55"/>
      <c r="AN697" s="55"/>
      <c r="AO697" s="55"/>
      <c r="AP697" s="55"/>
      <c r="AQ697" s="55"/>
      <c r="AR697" s="55"/>
      <c r="AS697" s="55"/>
      <c r="AT697" s="55"/>
      <c r="AU697" s="55"/>
      <c r="AV697" s="55"/>
      <c r="AW697" s="55"/>
      <c r="AX697" s="55"/>
      <c r="AY697" s="55"/>
      <c r="AZ697" s="55"/>
      <c r="BA697" s="55"/>
      <c r="BB697" s="55"/>
      <c r="BC697" s="55"/>
      <c r="BD697" s="55"/>
    </row>
    <row r="698" spans="13:56" ht="14.25" customHeight="1">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c r="AJ698" s="55"/>
      <c r="AK698" s="55"/>
      <c r="AL698" s="55"/>
      <c r="AM698" s="55"/>
      <c r="AN698" s="55"/>
      <c r="AO698" s="55"/>
      <c r="AP698" s="55"/>
      <c r="AQ698" s="55"/>
      <c r="AR698" s="55"/>
      <c r="AS698" s="55"/>
      <c r="AT698" s="55"/>
      <c r="AU698" s="55"/>
      <c r="AV698" s="55"/>
      <c r="AW698" s="55"/>
      <c r="AX698" s="55"/>
      <c r="AY698" s="55"/>
      <c r="AZ698" s="55"/>
      <c r="BA698" s="55"/>
      <c r="BB698" s="55"/>
      <c r="BC698" s="55"/>
      <c r="BD698" s="55"/>
    </row>
    <row r="699" spans="13:56" ht="14.25" customHeight="1">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c r="AJ699" s="55"/>
      <c r="AK699" s="55"/>
      <c r="AL699" s="55"/>
      <c r="AM699" s="55"/>
      <c r="AN699" s="55"/>
      <c r="AO699" s="55"/>
      <c r="AP699" s="55"/>
      <c r="AQ699" s="55"/>
      <c r="AR699" s="55"/>
      <c r="AS699" s="55"/>
      <c r="AT699" s="55"/>
      <c r="AU699" s="55"/>
      <c r="AV699" s="55"/>
      <c r="AW699" s="55"/>
      <c r="AX699" s="55"/>
      <c r="AY699" s="55"/>
      <c r="AZ699" s="55"/>
      <c r="BA699" s="55"/>
      <c r="BB699" s="55"/>
      <c r="BC699" s="55"/>
      <c r="BD699" s="55"/>
    </row>
    <row r="700" spans="13:56" ht="14.25" customHeight="1">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c r="AJ700" s="55"/>
      <c r="AK700" s="55"/>
      <c r="AL700" s="55"/>
      <c r="AM700" s="55"/>
      <c r="AN700" s="55"/>
      <c r="AO700" s="55"/>
      <c r="AP700" s="55"/>
      <c r="AQ700" s="55"/>
      <c r="AR700" s="55"/>
      <c r="AS700" s="55"/>
      <c r="AT700" s="55"/>
      <c r="AU700" s="55"/>
      <c r="AV700" s="55"/>
      <c r="AW700" s="55"/>
      <c r="AX700" s="55"/>
      <c r="AY700" s="55"/>
      <c r="AZ700" s="55"/>
      <c r="BA700" s="55"/>
      <c r="BB700" s="55"/>
      <c r="BC700" s="55"/>
      <c r="BD700" s="55"/>
    </row>
    <row r="701" spans="13:56" ht="14.25" customHeight="1">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c r="AJ701" s="55"/>
      <c r="AK701" s="55"/>
      <c r="AL701" s="55"/>
      <c r="AM701" s="55"/>
      <c r="AN701" s="55"/>
      <c r="AO701" s="55"/>
      <c r="AP701" s="55"/>
      <c r="AQ701" s="55"/>
      <c r="AR701" s="55"/>
      <c r="AS701" s="55"/>
      <c r="AT701" s="55"/>
      <c r="AU701" s="55"/>
      <c r="AV701" s="55"/>
      <c r="AW701" s="55"/>
      <c r="AX701" s="55"/>
      <c r="AY701" s="55"/>
      <c r="AZ701" s="55"/>
      <c r="BA701" s="55"/>
      <c r="BB701" s="55"/>
      <c r="BC701" s="55"/>
      <c r="BD701" s="55"/>
    </row>
    <row r="702" spans="13:56" ht="14.25" customHeight="1">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c r="AJ702" s="55"/>
      <c r="AK702" s="55"/>
      <c r="AL702" s="55"/>
      <c r="AM702" s="55"/>
      <c r="AN702" s="55"/>
      <c r="AO702" s="55"/>
      <c r="AP702" s="55"/>
      <c r="AQ702" s="55"/>
      <c r="AR702" s="55"/>
      <c r="AS702" s="55"/>
      <c r="AT702" s="55"/>
      <c r="AU702" s="55"/>
      <c r="AV702" s="55"/>
      <c r="AW702" s="55"/>
      <c r="AX702" s="55"/>
      <c r="AY702" s="55"/>
      <c r="AZ702" s="55"/>
      <c r="BA702" s="55"/>
      <c r="BB702" s="55"/>
      <c r="BC702" s="55"/>
      <c r="BD702" s="55"/>
    </row>
    <row r="703" spans="13:56" ht="14.25" customHeight="1">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c r="AJ703" s="55"/>
      <c r="AK703" s="55"/>
      <c r="AL703" s="55"/>
      <c r="AM703" s="55"/>
      <c r="AN703" s="55"/>
      <c r="AO703" s="55"/>
      <c r="AP703" s="55"/>
      <c r="AQ703" s="55"/>
      <c r="AR703" s="55"/>
      <c r="AS703" s="55"/>
      <c r="AT703" s="55"/>
      <c r="AU703" s="55"/>
      <c r="AV703" s="55"/>
      <c r="AW703" s="55"/>
      <c r="AX703" s="55"/>
      <c r="AY703" s="55"/>
      <c r="AZ703" s="55"/>
      <c r="BA703" s="55"/>
      <c r="BB703" s="55"/>
      <c r="BC703" s="55"/>
      <c r="BD703" s="55"/>
    </row>
    <row r="704" spans="13:56" ht="14.25" customHeight="1">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c r="AJ704" s="55"/>
      <c r="AK704" s="55"/>
      <c r="AL704" s="55"/>
      <c r="AM704" s="55"/>
      <c r="AN704" s="55"/>
      <c r="AO704" s="55"/>
      <c r="AP704" s="55"/>
      <c r="AQ704" s="55"/>
      <c r="AR704" s="55"/>
      <c r="AS704" s="55"/>
      <c r="AT704" s="55"/>
      <c r="AU704" s="55"/>
      <c r="AV704" s="55"/>
      <c r="AW704" s="55"/>
      <c r="AX704" s="55"/>
      <c r="AY704" s="55"/>
      <c r="AZ704" s="55"/>
      <c r="BA704" s="55"/>
      <c r="BB704" s="55"/>
      <c r="BC704" s="55"/>
      <c r="BD704" s="55"/>
    </row>
    <row r="705" spans="13:56" ht="14.25" customHeight="1">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c r="AQ705" s="55"/>
      <c r="AR705" s="55"/>
      <c r="AS705" s="55"/>
      <c r="AT705" s="55"/>
      <c r="AU705" s="55"/>
      <c r="AV705" s="55"/>
      <c r="AW705" s="55"/>
      <c r="AX705" s="55"/>
      <c r="AY705" s="55"/>
      <c r="AZ705" s="55"/>
      <c r="BA705" s="55"/>
      <c r="BB705" s="55"/>
      <c r="BC705" s="55"/>
      <c r="BD705" s="55"/>
    </row>
    <row r="706" spans="13:56" ht="14.25" customHeight="1">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c r="AQ706" s="55"/>
      <c r="AR706" s="55"/>
      <c r="AS706" s="55"/>
      <c r="AT706" s="55"/>
      <c r="AU706" s="55"/>
      <c r="AV706" s="55"/>
      <c r="AW706" s="55"/>
      <c r="AX706" s="55"/>
      <c r="AY706" s="55"/>
      <c r="AZ706" s="55"/>
      <c r="BA706" s="55"/>
      <c r="BB706" s="55"/>
      <c r="BC706" s="55"/>
      <c r="BD706" s="55"/>
    </row>
    <row r="707" spans="13:56" ht="14.25" customHeight="1">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c r="AQ707" s="55"/>
      <c r="AR707" s="55"/>
      <c r="AS707" s="55"/>
      <c r="AT707" s="55"/>
      <c r="AU707" s="55"/>
      <c r="AV707" s="55"/>
      <c r="AW707" s="55"/>
      <c r="AX707" s="55"/>
      <c r="AY707" s="55"/>
      <c r="AZ707" s="55"/>
      <c r="BA707" s="55"/>
      <c r="BB707" s="55"/>
      <c r="BC707" s="55"/>
      <c r="BD707" s="55"/>
    </row>
    <row r="708" spans="13:56" ht="14.25" customHeight="1">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c r="AQ708" s="55"/>
      <c r="AR708" s="55"/>
      <c r="AS708" s="55"/>
      <c r="AT708" s="55"/>
      <c r="AU708" s="55"/>
      <c r="AV708" s="55"/>
      <c r="AW708" s="55"/>
      <c r="AX708" s="55"/>
      <c r="AY708" s="55"/>
      <c r="AZ708" s="55"/>
      <c r="BA708" s="55"/>
      <c r="BB708" s="55"/>
      <c r="BC708" s="55"/>
      <c r="BD708" s="55"/>
    </row>
    <row r="709" spans="13:56" ht="14.25" customHeight="1">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c r="AQ709" s="55"/>
      <c r="AR709" s="55"/>
      <c r="AS709" s="55"/>
      <c r="AT709" s="55"/>
      <c r="AU709" s="55"/>
      <c r="AV709" s="55"/>
      <c r="AW709" s="55"/>
      <c r="AX709" s="55"/>
      <c r="AY709" s="55"/>
      <c r="AZ709" s="55"/>
      <c r="BA709" s="55"/>
      <c r="BB709" s="55"/>
      <c r="BC709" s="55"/>
      <c r="BD709" s="55"/>
    </row>
    <row r="710" spans="13:56" ht="14.25" customHeight="1">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c r="AQ710" s="55"/>
      <c r="AR710" s="55"/>
      <c r="AS710" s="55"/>
      <c r="AT710" s="55"/>
      <c r="AU710" s="55"/>
      <c r="AV710" s="55"/>
      <c r="AW710" s="55"/>
      <c r="AX710" s="55"/>
      <c r="AY710" s="55"/>
      <c r="AZ710" s="55"/>
      <c r="BA710" s="55"/>
      <c r="BB710" s="55"/>
      <c r="BC710" s="55"/>
      <c r="BD710" s="55"/>
    </row>
    <row r="711" spans="13:56" ht="14.25" customHeight="1">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c r="AQ711" s="55"/>
      <c r="AR711" s="55"/>
      <c r="AS711" s="55"/>
      <c r="AT711" s="55"/>
      <c r="AU711" s="55"/>
      <c r="AV711" s="55"/>
      <c r="AW711" s="55"/>
      <c r="AX711" s="55"/>
      <c r="AY711" s="55"/>
      <c r="AZ711" s="55"/>
      <c r="BA711" s="55"/>
      <c r="BB711" s="55"/>
      <c r="BC711" s="55"/>
      <c r="BD711" s="55"/>
    </row>
    <row r="712" spans="13:56" ht="14.25" customHeight="1">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c r="AQ712" s="55"/>
      <c r="AR712" s="55"/>
      <c r="AS712" s="55"/>
      <c r="AT712" s="55"/>
      <c r="AU712" s="55"/>
      <c r="AV712" s="55"/>
      <c r="AW712" s="55"/>
      <c r="AX712" s="55"/>
      <c r="AY712" s="55"/>
      <c r="AZ712" s="55"/>
      <c r="BA712" s="55"/>
      <c r="BB712" s="55"/>
      <c r="BC712" s="55"/>
      <c r="BD712" s="55"/>
    </row>
    <row r="713" spans="13:56" ht="14.25" customHeight="1">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c r="AQ713" s="55"/>
      <c r="AR713" s="55"/>
      <c r="AS713" s="55"/>
      <c r="AT713" s="55"/>
      <c r="AU713" s="55"/>
      <c r="AV713" s="55"/>
      <c r="AW713" s="55"/>
      <c r="AX713" s="55"/>
      <c r="AY713" s="55"/>
      <c r="AZ713" s="55"/>
      <c r="BA713" s="55"/>
      <c r="BB713" s="55"/>
      <c r="BC713" s="55"/>
      <c r="BD713" s="55"/>
    </row>
    <row r="714" spans="13:56" ht="14.25" customHeight="1">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c r="AJ714" s="55"/>
      <c r="AK714" s="55"/>
      <c r="AL714" s="55"/>
      <c r="AM714" s="55"/>
      <c r="AN714" s="55"/>
      <c r="AO714" s="55"/>
      <c r="AP714" s="55"/>
      <c r="AQ714" s="55"/>
      <c r="AR714" s="55"/>
      <c r="AS714" s="55"/>
      <c r="AT714" s="55"/>
      <c r="AU714" s="55"/>
      <c r="AV714" s="55"/>
      <c r="AW714" s="55"/>
      <c r="AX714" s="55"/>
      <c r="AY714" s="55"/>
      <c r="AZ714" s="55"/>
      <c r="BA714" s="55"/>
      <c r="BB714" s="55"/>
      <c r="BC714" s="55"/>
      <c r="BD714" s="55"/>
    </row>
    <row r="715" spans="13:56" ht="14.25" customHeight="1">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c r="AJ715" s="55"/>
      <c r="AK715" s="55"/>
      <c r="AL715" s="55"/>
      <c r="AM715" s="55"/>
      <c r="AN715" s="55"/>
      <c r="AO715" s="55"/>
      <c r="AP715" s="55"/>
      <c r="AQ715" s="55"/>
      <c r="AR715" s="55"/>
      <c r="AS715" s="55"/>
      <c r="AT715" s="55"/>
      <c r="AU715" s="55"/>
      <c r="AV715" s="55"/>
      <c r="AW715" s="55"/>
      <c r="AX715" s="55"/>
      <c r="AY715" s="55"/>
      <c r="AZ715" s="55"/>
      <c r="BA715" s="55"/>
      <c r="BB715" s="55"/>
      <c r="BC715" s="55"/>
      <c r="BD715" s="55"/>
    </row>
    <row r="716" spans="13:56" ht="14.25" customHeight="1">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c r="AL716" s="55"/>
      <c r="AM716" s="55"/>
      <c r="AN716" s="55"/>
      <c r="AO716" s="55"/>
      <c r="AP716" s="55"/>
      <c r="AQ716" s="55"/>
      <c r="AR716" s="55"/>
      <c r="AS716" s="55"/>
      <c r="AT716" s="55"/>
      <c r="AU716" s="55"/>
      <c r="AV716" s="55"/>
      <c r="AW716" s="55"/>
      <c r="AX716" s="55"/>
      <c r="AY716" s="55"/>
      <c r="AZ716" s="55"/>
      <c r="BA716" s="55"/>
      <c r="BB716" s="55"/>
      <c r="BC716" s="55"/>
      <c r="BD716" s="55"/>
    </row>
    <row r="717" spans="13:56" ht="14.25" customHeight="1">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c r="AL717" s="55"/>
      <c r="AM717" s="55"/>
      <c r="AN717" s="55"/>
      <c r="AO717" s="55"/>
      <c r="AP717" s="55"/>
      <c r="AQ717" s="55"/>
      <c r="AR717" s="55"/>
      <c r="AS717" s="55"/>
      <c r="AT717" s="55"/>
      <c r="AU717" s="55"/>
      <c r="AV717" s="55"/>
      <c r="AW717" s="55"/>
      <c r="AX717" s="55"/>
      <c r="AY717" s="55"/>
      <c r="AZ717" s="55"/>
      <c r="BA717" s="55"/>
      <c r="BB717" s="55"/>
      <c r="BC717" s="55"/>
      <c r="BD717" s="55"/>
    </row>
    <row r="718" spans="13:56" ht="14.25" customHeight="1">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c r="AX718" s="55"/>
      <c r="AY718" s="55"/>
      <c r="AZ718" s="55"/>
      <c r="BA718" s="55"/>
      <c r="BB718" s="55"/>
      <c r="BC718" s="55"/>
      <c r="BD718" s="55"/>
    </row>
    <row r="719" spans="13:56" ht="14.25" customHeight="1">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c r="AX719" s="55"/>
      <c r="AY719" s="55"/>
      <c r="AZ719" s="55"/>
      <c r="BA719" s="55"/>
      <c r="BB719" s="55"/>
      <c r="BC719" s="55"/>
      <c r="BD719" s="55"/>
    </row>
    <row r="720" spans="13:56" ht="14.25" customHeight="1">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c r="AX720" s="55"/>
      <c r="AY720" s="55"/>
      <c r="AZ720" s="55"/>
      <c r="BA720" s="55"/>
      <c r="BB720" s="55"/>
      <c r="BC720" s="55"/>
      <c r="BD720" s="55"/>
    </row>
    <row r="721" spans="13:56" ht="14.25" customHeight="1">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c r="AX721" s="55"/>
      <c r="AY721" s="55"/>
      <c r="AZ721" s="55"/>
      <c r="BA721" s="55"/>
      <c r="BB721" s="55"/>
      <c r="BC721" s="55"/>
      <c r="BD721" s="55"/>
    </row>
    <row r="722" spans="13:56" ht="14.25" customHeight="1">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c r="AX722" s="55"/>
      <c r="AY722" s="55"/>
      <c r="AZ722" s="55"/>
      <c r="BA722" s="55"/>
      <c r="BB722" s="55"/>
      <c r="BC722" s="55"/>
      <c r="BD722" s="55"/>
    </row>
    <row r="723" spans="13:56" ht="14.25" customHeight="1">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c r="AX723" s="55"/>
      <c r="AY723" s="55"/>
      <c r="AZ723" s="55"/>
      <c r="BA723" s="55"/>
      <c r="BB723" s="55"/>
      <c r="BC723" s="55"/>
      <c r="BD723" s="55"/>
    </row>
    <row r="724" spans="13:56" ht="14.25" customHeight="1">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c r="AX724" s="55"/>
      <c r="AY724" s="55"/>
      <c r="AZ724" s="55"/>
      <c r="BA724" s="55"/>
      <c r="BB724" s="55"/>
      <c r="BC724" s="55"/>
      <c r="BD724" s="55"/>
    </row>
    <row r="725" spans="13:56" ht="14.25" customHeight="1">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c r="AX725" s="55"/>
      <c r="AY725" s="55"/>
      <c r="AZ725" s="55"/>
      <c r="BA725" s="55"/>
      <c r="BB725" s="55"/>
      <c r="BC725" s="55"/>
      <c r="BD725" s="55"/>
    </row>
    <row r="726" spans="13:56" ht="14.25" customHeight="1">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c r="AX726" s="55"/>
      <c r="AY726" s="55"/>
      <c r="AZ726" s="55"/>
      <c r="BA726" s="55"/>
      <c r="BB726" s="55"/>
      <c r="BC726" s="55"/>
      <c r="BD726" s="55"/>
    </row>
    <row r="727" spans="13:56" ht="14.25" customHeight="1">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c r="AX727" s="55"/>
      <c r="AY727" s="55"/>
      <c r="AZ727" s="55"/>
      <c r="BA727" s="55"/>
      <c r="BB727" s="55"/>
      <c r="BC727" s="55"/>
      <c r="BD727" s="55"/>
    </row>
    <row r="728" spans="13:56" ht="14.25" customHeight="1">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c r="AX728" s="55"/>
      <c r="AY728" s="55"/>
      <c r="AZ728" s="55"/>
      <c r="BA728" s="55"/>
      <c r="BB728" s="55"/>
      <c r="BC728" s="55"/>
      <c r="BD728" s="55"/>
    </row>
    <row r="729" spans="13:56" ht="14.25" customHeight="1">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c r="AX729" s="55"/>
      <c r="AY729" s="55"/>
      <c r="AZ729" s="55"/>
      <c r="BA729" s="55"/>
      <c r="BB729" s="55"/>
      <c r="BC729" s="55"/>
      <c r="BD729" s="55"/>
    </row>
    <row r="730" spans="13:56" ht="14.25" customHeight="1">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c r="AX730" s="55"/>
      <c r="AY730" s="55"/>
      <c r="AZ730" s="55"/>
      <c r="BA730" s="55"/>
      <c r="BB730" s="55"/>
      <c r="BC730" s="55"/>
      <c r="BD730" s="55"/>
    </row>
    <row r="731" spans="13:56" ht="14.25" customHeight="1">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c r="AX731" s="55"/>
      <c r="AY731" s="55"/>
      <c r="AZ731" s="55"/>
      <c r="BA731" s="55"/>
      <c r="BB731" s="55"/>
      <c r="BC731" s="55"/>
      <c r="BD731" s="55"/>
    </row>
    <row r="732" spans="13:56" ht="14.25" customHeight="1">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c r="AX732" s="55"/>
      <c r="AY732" s="55"/>
      <c r="AZ732" s="55"/>
      <c r="BA732" s="55"/>
      <c r="BB732" s="55"/>
      <c r="BC732" s="55"/>
      <c r="BD732" s="55"/>
    </row>
    <row r="733" spans="13:56" ht="14.25" customHeight="1">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c r="AX733" s="55"/>
      <c r="AY733" s="55"/>
      <c r="AZ733" s="55"/>
      <c r="BA733" s="55"/>
      <c r="BB733" s="55"/>
      <c r="BC733" s="55"/>
      <c r="BD733" s="55"/>
    </row>
    <row r="734" spans="13:56" ht="14.25" customHeight="1">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c r="AX734" s="55"/>
      <c r="AY734" s="55"/>
      <c r="AZ734" s="55"/>
      <c r="BA734" s="55"/>
      <c r="BB734" s="55"/>
      <c r="BC734" s="55"/>
      <c r="BD734" s="55"/>
    </row>
    <row r="735" spans="13:56" ht="14.25" customHeight="1">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c r="AX735" s="55"/>
      <c r="AY735" s="55"/>
      <c r="AZ735" s="55"/>
      <c r="BA735" s="55"/>
      <c r="BB735" s="55"/>
      <c r="BC735" s="55"/>
      <c r="BD735" s="55"/>
    </row>
    <row r="736" spans="13:56" ht="14.25" customHeight="1">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c r="AX736" s="55"/>
      <c r="AY736" s="55"/>
      <c r="AZ736" s="55"/>
      <c r="BA736" s="55"/>
      <c r="BB736" s="55"/>
      <c r="BC736" s="55"/>
      <c r="BD736" s="55"/>
    </row>
    <row r="737" spans="13:56" ht="14.25" customHeight="1">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c r="AX737" s="55"/>
      <c r="AY737" s="55"/>
      <c r="AZ737" s="55"/>
      <c r="BA737" s="55"/>
      <c r="BB737" s="55"/>
      <c r="BC737" s="55"/>
      <c r="BD737" s="55"/>
    </row>
    <row r="738" spans="13:56" ht="14.25" customHeight="1">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c r="AX738" s="55"/>
      <c r="AY738" s="55"/>
      <c r="AZ738" s="55"/>
      <c r="BA738" s="55"/>
      <c r="BB738" s="55"/>
      <c r="BC738" s="55"/>
      <c r="BD738" s="55"/>
    </row>
    <row r="739" spans="13:56" ht="14.25" customHeight="1">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c r="AX739" s="55"/>
      <c r="AY739" s="55"/>
      <c r="AZ739" s="55"/>
      <c r="BA739" s="55"/>
      <c r="BB739" s="55"/>
      <c r="BC739" s="55"/>
      <c r="BD739" s="55"/>
    </row>
    <row r="740" spans="13:56" ht="14.25" customHeight="1">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c r="AX740" s="55"/>
      <c r="AY740" s="55"/>
      <c r="AZ740" s="55"/>
      <c r="BA740" s="55"/>
      <c r="BB740" s="55"/>
      <c r="BC740" s="55"/>
      <c r="BD740" s="55"/>
    </row>
    <row r="741" spans="13:56" ht="14.25" customHeight="1">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c r="AX741" s="55"/>
      <c r="AY741" s="55"/>
      <c r="AZ741" s="55"/>
      <c r="BA741" s="55"/>
      <c r="BB741" s="55"/>
      <c r="BC741" s="55"/>
      <c r="BD741" s="55"/>
    </row>
    <row r="742" spans="13:56" ht="14.25" customHeight="1">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c r="AX742" s="55"/>
      <c r="AY742" s="55"/>
      <c r="AZ742" s="55"/>
      <c r="BA742" s="55"/>
      <c r="BB742" s="55"/>
      <c r="BC742" s="55"/>
      <c r="BD742" s="55"/>
    </row>
    <row r="743" spans="13:56" ht="14.25" customHeight="1">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c r="AX743" s="55"/>
      <c r="AY743" s="55"/>
      <c r="AZ743" s="55"/>
      <c r="BA743" s="55"/>
      <c r="BB743" s="55"/>
      <c r="BC743" s="55"/>
      <c r="BD743" s="55"/>
    </row>
    <row r="744" spans="13:56" ht="14.25" customHeight="1">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c r="AX744" s="55"/>
      <c r="AY744" s="55"/>
      <c r="AZ744" s="55"/>
      <c r="BA744" s="55"/>
      <c r="BB744" s="55"/>
      <c r="BC744" s="55"/>
      <c r="BD744" s="55"/>
    </row>
    <row r="745" spans="13:56" ht="14.25" customHeight="1">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c r="AX745" s="55"/>
      <c r="AY745" s="55"/>
      <c r="AZ745" s="55"/>
      <c r="BA745" s="55"/>
      <c r="BB745" s="55"/>
      <c r="BC745" s="55"/>
      <c r="BD745" s="55"/>
    </row>
    <row r="746" spans="13:56" ht="14.25" customHeight="1">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c r="AX746" s="55"/>
      <c r="AY746" s="55"/>
      <c r="AZ746" s="55"/>
      <c r="BA746" s="55"/>
      <c r="BB746" s="55"/>
      <c r="BC746" s="55"/>
      <c r="BD746" s="55"/>
    </row>
    <row r="747" spans="13:56" ht="14.25" customHeight="1">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c r="AX747" s="55"/>
      <c r="AY747" s="55"/>
      <c r="AZ747" s="55"/>
      <c r="BA747" s="55"/>
      <c r="BB747" s="55"/>
      <c r="BC747" s="55"/>
      <c r="BD747" s="55"/>
    </row>
    <row r="748" spans="13:56" ht="14.25" customHeight="1">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c r="AX748" s="55"/>
      <c r="AY748" s="55"/>
      <c r="AZ748" s="55"/>
      <c r="BA748" s="55"/>
      <c r="BB748" s="55"/>
      <c r="BC748" s="55"/>
      <c r="BD748" s="55"/>
    </row>
    <row r="749" spans="13:56" ht="14.25" customHeight="1">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c r="AX749" s="55"/>
      <c r="AY749" s="55"/>
      <c r="AZ749" s="55"/>
      <c r="BA749" s="55"/>
      <c r="BB749" s="55"/>
      <c r="BC749" s="55"/>
      <c r="BD749" s="55"/>
    </row>
    <row r="750" spans="13:56" ht="14.25" customHeight="1">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c r="AX750" s="55"/>
      <c r="AY750" s="55"/>
      <c r="AZ750" s="55"/>
      <c r="BA750" s="55"/>
      <c r="BB750" s="55"/>
      <c r="BC750" s="55"/>
      <c r="BD750" s="55"/>
    </row>
    <row r="751" spans="13:56" ht="14.25" customHeight="1">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c r="AX751" s="55"/>
      <c r="AY751" s="55"/>
      <c r="AZ751" s="55"/>
      <c r="BA751" s="55"/>
      <c r="BB751" s="55"/>
      <c r="BC751" s="55"/>
      <c r="BD751" s="55"/>
    </row>
    <row r="752" spans="13:56" ht="14.25" customHeight="1">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c r="AX752" s="55"/>
      <c r="AY752" s="55"/>
      <c r="AZ752" s="55"/>
      <c r="BA752" s="55"/>
      <c r="BB752" s="55"/>
      <c r="BC752" s="55"/>
      <c r="BD752" s="55"/>
    </row>
    <row r="753" spans="13:56" ht="14.25" customHeight="1">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c r="AX753" s="55"/>
      <c r="AY753" s="55"/>
      <c r="AZ753" s="55"/>
      <c r="BA753" s="55"/>
      <c r="BB753" s="55"/>
      <c r="BC753" s="55"/>
      <c r="BD753" s="55"/>
    </row>
    <row r="754" spans="13:56" ht="14.25" customHeight="1">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c r="AX754" s="55"/>
      <c r="AY754" s="55"/>
      <c r="AZ754" s="55"/>
      <c r="BA754" s="55"/>
      <c r="BB754" s="55"/>
      <c r="BC754" s="55"/>
      <c r="BD754" s="55"/>
    </row>
    <row r="755" spans="13:56" ht="14.25" customHeight="1">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c r="AX755" s="55"/>
      <c r="AY755" s="55"/>
      <c r="AZ755" s="55"/>
      <c r="BA755" s="55"/>
      <c r="BB755" s="55"/>
      <c r="BC755" s="55"/>
      <c r="BD755" s="55"/>
    </row>
    <row r="756" spans="13:56" ht="14.25" customHeight="1">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c r="AX756" s="55"/>
      <c r="AY756" s="55"/>
      <c r="AZ756" s="55"/>
      <c r="BA756" s="55"/>
      <c r="BB756" s="55"/>
      <c r="BC756" s="55"/>
      <c r="BD756" s="55"/>
    </row>
    <row r="757" spans="13:56" ht="14.25" customHeight="1">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c r="AX757" s="55"/>
      <c r="AY757" s="55"/>
      <c r="AZ757" s="55"/>
      <c r="BA757" s="55"/>
      <c r="BB757" s="55"/>
      <c r="BC757" s="55"/>
      <c r="BD757" s="55"/>
    </row>
    <row r="758" spans="13:56" ht="14.25" customHeight="1">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c r="AX758" s="55"/>
      <c r="AY758" s="55"/>
      <c r="AZ758" s="55"/>
      <c r="BA758" s="55"/>
      <c r="BB758" s="55"/>
      <c r="BC758" s="55"/>
      <c r="BD758" s="55"/>
    </row>
    <row r="759" spans="13:56" ht="14.25" customHeight="1">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c r="AX759" s="55"/>
      <c r="AY759" s="55"/>
      <c r="AZ759" s="55"/>
      <c r="BA759" s="55"/>
      <c r="BB759" s="55"/>
      <c r="BC759" s="55"/>
      <c r="BD759" s="55"/>
    </row>
    <row r="760" spans="13:56" ht="14.25" customHeight="1">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c r="AX760" s="55"/>
      <c r="AY760" s="55"/>
      <c r="AZ760" s="55"/>
      <c r="BA760" s="55"/>
      <c r="BB760" s="55"/>
      <c r="BC760" s="55"/>
      <c r="BD760" s="55"/>
    </row>
    <row r="761" spans="13:56" ht="14.25" customHeight="1">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c r="AX761" s="55"/>
      <c r="AY761" s="55"/>
      <c r="AZ761" s="55"/>
      <c r="BA761" s="55"/>
      <c r="BB761" s="55"/>
      <c r="BC761" s="55"/>
      <c r="BD761" s="55"/>
    </row>
    <row r="762" spans="13:56" ht="14.25" customHeight="1">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c r="AX762" s="55"/>
      <c r="AY762" s="55"/>
      <c r="AZ762" s="55"/>
      <c r="BA762" s="55"/>
      <c r="BB762" s="55"/>
      <c r="BC762" s="55"/>
      <c r="BD762" s="55"/>
    </row>
    <row r="763" spans="13:56" ht="14.25" customHeight="1">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c r="AX763" s="55"/>
      <c r="AY763" s="55"/>
      <c r="AZ763" s="55"/>
      <c r="BA763" s="55"/>
      <c r="BB763" s="55"/>
      <c r="BC763" s="55"/>
      <c r="BD763" s="55"/>
    </row>
    <row r="764" spans="13:56" ht="14.25" customHeight="1">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c r="AX764" s="55"/>
      <c r="AY764" s="55"/>
      <c r="AZ764" s="55"/>
      <c r="BA764" s="55"/>
      <c r="BB764" s="55"/>
      <c r="BC764" s="55"/>
      <c r="BD764" s="55"/>
    </row>
    <row r="765" spans="13:56" ht="14.25" customHeight="1">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c r="AZ765" s="55"/>
      <c r="BA765" s="55"/>
      <c r="BB765" s="55"/>
      <c r="BC765" s="55"/>
      <c r="BD765" s="55"/>
    </row>
    <row r="766" spans="13:56" ht="14.25" customHeight="1">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c r="AX766" s="55"/>
      <c r="AY766" s="55"/>
      <c r="AZ766" s="55"/>
      <c r="BA766" s="55"/>
      <c r="BB766" s="55"/>
      <c r="BC766" s="55"/>
      <c r="BD766" s="55"/>
    </row>
    <row r="767" spans="13:56" ht="14.25" customHeight="1">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c r="AX767" s="55"/>
      <c r="AY767" s="55"/>
      <c r="AZ767" s="55"/>
      <c r="BA767" s="55"/>
      <c r="BB767" s="55"/>
      <c r="BC767" s="55"/>
      <c r="BD767" s="55"/>
    </row>
    <row r="768" spans="13:56" ht="14.25" customHeight="1">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c r="AZ768" s="55"/>
      <c r="BA768" s="55"/>
      <c r="BB768" s="55"/>
      <c r="BC768" s="55"/>
      <c r="BD768" s="55"/>
    </row>
    <row r="769" spans="13:56" ht="14.25" customHeight="1">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c r="AZ769" s="55"/>
      <c r="BA769" s="55"/>
      <c r="BB769" s="55"/>
      <c r="BC769" s="55"/>
      <c r="BD769" s="55"/>
    </row>
    <row r="770" spans="13:56" ht="14.25" customHeight="1">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c r="AZ770" s="55"/>
      <c r="BA770" s="55"/>
      <c r="BB770" s="55"/>
      <c r="BC770" s="55"/>
      <c r="BD770" s="55"/>
    </row>
    <row r="771" spans="13:56" ht="14.25" customHeight="1">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c r="AZ771" s="55"/>
      <c r="BA771" s="55"/>
      <c r="BB771" s="55"/>
      <c r="BC771" s="55"/>
      <c r="BD771" s="55"/>
    </row>
    <row r="772" spans="13:56" ht="14.25" customHeight="1">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c r="AX772" s="55"/>
      <c r="AY772" s="55"/>
      <c r="AZ772" s="55"/>
      <c r="BA772" s="55"/>
      <c r="BB772" s="55"/>
      <c r="BC772" s="55"/>
      <c r="BD772" s="55"/>
    </row>
    <row r="773" spans="13:56" ht="14.25" customHeight="1">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c r="AX773" s="55"/>
      <c r="AY773" s="55"/>
      <c r="AZ773" s="55"/>
      <c r="BA773" s="55"/>
      <c r="BB773" s="55"/>
      <c r="BC773" s="55"/>
      <c r="BD773" s="55"/>
    </row>
    <row r="774" spans="13:56" ht="14.25" customHeight="1">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c r="AX774" s="55"/>
      <c r="AY774" s="55"/>
      <c r="AZ774" s="55"/>
      <c r="BA774" s="55"/>
      <c r="BB774" s="55"/>
      <c r="BC774" s="55"/>
      <c r="BD774" s="55"/>
    </row>
    <row r="775" spans="13:56" ht="14.25" customHeight="1">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c r="AZ775" s="55"/>
      <c r="BA775" s="55"/>
      <c r="BB775" s="55"/>
      <c r="BC775" s="55"/>
      <c r="BD775" s="55"/>
    </row>
    <row r="776" spans="13:56" ht="14.25" customHeight="1">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row>
    <row r="777" spans="13:56" ht="14.25" customHeight="1">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c r="AZ777" s="55"/>
      <c r="BA777" s="55"/>
      <c r="BB777" s="55"/>
      <c r="BC777" s="55"/>
      <c r="BD777" s="55"/>
    </row>
    <row r="778" spans="13:56" ht="14.25" customHeight="1">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c r="AZ778" s="55"/>
      <c r="BA778" s="55"/>
      <c r="BB778" s="55"/>
      <c r="BC778" s="55"/>
      <c r="BD778" s="55"/>
    </row>
    <row r="779" spans="13:56" ht="14.25" customHeight="1">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c r="AX779" s="55"/>
      <c r="AY779" s="55"/>
      <c r="AZ779" s="55"/>
      <c r="BA779" s="55"/>
      <c r="BB779" s="55"/>
      <c r="BC779" s="55"/>
      <c r="BD779" s="55"/>
    </row>
    <row r="780" spans="13:56" ht="14.25" customHeight="1">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c r="AX780" s="55"/>
      <c r="AY780" s="55"/>
      <c r="AZ780" s="55"/>
      <c r="BA780" s="55"/>
      <c r="BB780" s="55"/>
      <c r="BC780" s="55"/>
      <c r="BD780" s="55"/>
    </row>
    <row r="781" spans="13:56" ht="14.25" customHeight="1">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c r="AX781" s="55"/>
      <c r="AY781" s="55"/>
      <c r="AZ781" s="55"/>
      <c r="BA781" s="55"/>
      <c r="BB781" s="55"/>
      <c r="BC781" s="55"/>
      <c r="BD781" s="55"/>
    </row>
    <row r="782" spans="13:56" ht="14.25" customHeight="1">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c r="AX782" s="55"/>
      <c r="AY782" s="55"/>
      <c r="AZ782" s="55"/>
      <c r="BA782" s="55"/>
      <c r="BB782" s="55"/>
      <c r="BC782" s="55"/>
      <c r="BD782" s="55"/>
    </row>
    <row r="783" spans="13:56" ht="14.25" customHeight="1">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c r="AZ783" s="55"/>
      <c r="BA783" s="55"/>
      <c r="BB783" s="55"/>
      <c r="BC783" s="55"/>
      <c r="BD783" s="55"/>
    </row>
    <row r="784" spans="13:56" ht="14.25" customHeight="1">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c r="AZ784" s="55"/>
      <c r="BA784" s="55"/>
      <c r="BB784" s="55"/>
      <c r="BC784" s="55"/>
      <c r="BD784" s="55"/>
    </row>
    <row r="785" spans="13:56" ht="14.25" customHeight="1">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c r="AZ785" s="55"/>
      <c r="BA785" s="55"/>
      <c r="BB785" s="55"/>
      <c r="BC785" s="55"/>
      <c r="BD785" s="55"/>
    </row>
    <row r="786" spans="13:56" ht="14.25" customHeight="1">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c r="AX786" s="55"/>
      <c r="AY786" s="55"/>
      <c r="AZ786" s="55"/>
      <c r="BA786" s="55"/>
      <c r="BB786" s="55"/>
      <c r="BC786" s="55"/>
      <c r="BD786" s="55"/>
    </row>
    <row r="787" spans="13:56" ht="14.25" customHeight="1">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c r="AX787" s="55"/>
      <c r="AY787" s="55"/>
      <c r="AZ787" s="55"/>
      <c r="BA787" s="55"/>
      <c r="BB787" s="55"/>
      <c r="BC787" s="55"/>
      <c r="BD787" s="55"/>
    </row>
    <row r="788" spans="13:56" ht="14.25" customHeight="1">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c r="AX788" s="55"/>
      <c r="AY788" s="55"/>
      <c r="AZ788" s="55"/>
      <c r="BA788" s="55"/>
      <c r="BB788" s="55"/>
      <c r="BC788" s="55"/>
      <c r="BD788" s="55"/>
    </row>
    <row r="789" spans="13:56" ht="14.25" customHeight="1">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c r="AX789" s="55"/>
      <c r="AY789" s="55"/>
      <c r="AZ789" s="55"/>
      <c r="BA789" s="55"/>
      <c r="BB789" s="55"/>
      <c r="BC789" s="55"/>
      <c r="BD789" s="55"/>
    </row>
    <row r="790" spans="13:56" ht="14.25" customHeight="1">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c r="AX790" s="55"/>
      <c r="AY790" s="55"/>
      <c r="AZ790" s="55"/>
      <c r="BA790" s="55"/>
      <c r="BB790" s="55"/>
      <c r="BC790" s="55"/>
      <c r="BD790" s="55"/>
    </row>
    <row r="791" spans="13:56" ht="14.25" customHeight="1">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c r="AX791" s="55"/>
      <c r="AY791" s="55"/>
      <c r="AZ791" s="55"/>
      <c r="BA791" s="55"/>
      <c r="BB791" s="55"/>
      <c r="BC791" s="55"/>
      <c r="BD791" s="55"/>
    </row>
    <row r="792" spans="13:56" ht="14.25" customHeight="1">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c r="AX792" s="55"/>
      <c r="AY792" s="55"/>
      <c r="AZ792" s="55"/>
      <c r="BA792" s="55"/>
      <c r="BB792" s="55"/>
      <c r="BC792" s="55"/>
      <c r="BD792" s="55"/>
    </row>
    <row r="793" spans="13:56" ht="14.25" customHeight="1">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c r="AX793" s="55"/>
      <c r="AY793" s="55"/>
      <c r="AZ793" s="55"/>
      <c r="BA793" s="55"/>
      <c r="BB793" s="55"/>
      <c r="BC793" s="55"/>
      <c r="BD793" s="55"/>
    </row>
    <row r="794" spans="13:56" ht="14.25" customHeight="1">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c r="AX794" s="55"/>
      <c r="AY794" s="55"/>
      <c r="AZ794" s="55"/>
      <c r="BA794" s="55"/>
      <c r="BB794" s="55"/>
      <c r="BC794" s="55"/>
      <c r="BD794" s="55"/>
    </row>
    <row r="795" spans="13:56" ht="14.25" customHeight="1">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c r="AX795" s="55"/>
      <c r="AY795" s="55"/>
      <c r="AZ795" s="55"/>
      <c r="BA795" s="55"/>
      <c r="BB795" s="55"/>
      <c r="BC795" s="55"/>
      <c r="BD795" s="55"/>
    </row>
    <row r="796" spans="13:56" ht="14.25" customHeight="1">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c r="AX796" s="55"/>
      <c r="AY796" s="55"/>
      <c r="AZ796" s="55"/>
      <c r="BA796" s="55"/>
      <c r="BB796" s="55"/>
      <c r="BC796" s="55"/>
      <c r="BD796" s="55"/>
    </row>
    <row r="797" spans="13:56" ht="14.25" customHeight="1">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c r="AX797" s="55"/>
      <c r="AY797" s="55"/>
      <c r="AZ797" s="55"/>
      <c r="BA797" s="55"/>
      <c r="BB797" s="55"/>
      <c r="BC797" s="55"/>
      <c r="BD797" s="55"/>
    </row>
    <row r="798" spans="13:56" ht="14.25" customHeight="1">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c r="AX798" s="55"/>
      <c r="AY798" s="55"/>
      <c r="AZ798" s="55"/>
      <c r="BA798" s="55"/>
      <c r="BB798" s="55"/>
      <c r="BC798" s="55"/>
      <c r="BD798" s="55"/>
    </row>
    <row r="799" spans="13:56" ht="14.25" customHeight="1">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c r="AX799" s="55"/>
      <c r="AY799" s="55"/>
      <c r="AZ799" s="55"/>
      <c r="BA799" s="55"/>
      <c r="BB799" s="55"/>
      <c r="BC799" s="55"/>
      <c r="BD799" s="55"/>
    </row>
    <row r="800" spans="13:56" ht="14.25" customHeight="1">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c r="AX800" s="55"/>
      <c r="AY800" s="55"/>
      <c r="AZ800" s="55"/>
      <c r="BA800" s="55"/>
      <c r="BB800" s="55"/>
      <c r="BC800" s="55"/>
      <c r="BD800" s="55"/>
    </row>
    <row r="801" spans="13:56" ht="14.25" customHeight="1">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c r="AX801" s="55"/>
      <c r="AY801" s="55"/>
      <c r="AZ801" s="55"/>
      <c r="BA801" s="55"/>
      <c r="BB801" s="55"/>
      <c r="BC801" s="55"/>
      <c r="BD801" s="55"/>
    </row>
    <row r="802" spans="13:56" ht="14.25" customHeight="1">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c r="AX802" s="55"/>
      <c r="AY802" s="55"/>
      <c r="AZ802" s="55"/>
      <c r="BA802" s="55"/>
      <c r="BB802" s="55"/>
      <c r="BC802" s="55"/>
      <c r="BD802" s="55"/>
    </row>
    <row r="803" spans="13:56" ht="14.25" customHeight="1">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c r="AX803" s="55"/>
      <c r="AY803" s="55"/>
      <c r="AZ803" s="55"/>
      <c r="BA803" s="55"/>
      <c r="BB803" s="55"/>
      <c r="BC803" s="55"/>
      <c r="BD803" s="55"/>
    </row>
    <row r="804" spans="13:56" ht="14.25" customHeight="1">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c r="AX804" s="55"/>
      <c r="AY804" s="55"/>
      <c r="AZ804" s="55"/>
      <c r="BA804" s="55"/>
      <c r="BB804" s="55"/>
      <c r="BC804" s="55"/>
      <c r="BD804" s="55"/>
    </row>
    <row r="805" spans="13:56" ht="14.25" customHeight="1">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c r="AX805" s="55"/>
      <c r="AY805" s="55"/>
      <c r="AZ805" s="55"/>
      <c r="BA805" s="55"/>
      <c r="BB805" s="55"/>
      <c r="BC805" s="55"/>
      <c r="BD805" s="55"/>
    </row>
    <row r="806" spans="13:56" ht="14.25" customHeight="1">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c r="AX806" s="55"/>
      <c r="AY806" s="55"/>
      <c r="AZ806" s="55"/>
      <c r="BA806" s="55"/>
      <c r="BB806" s="55"/>
      <c r="BC806" s="55"/>
      <c r="BD806" s="55"/>
    </row>
    <row r="807" spans="13:56" ht="14.25" customHeight="1">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c r="AX807" s="55"/>
      <c r="AY807" s="55"/>
      <c r="AZ807" s="55"/>
      <c r="BA807" s="55"/>
      <c r="BB807" s="55"/>
      <c r="BC807" s="55"/>
      <c r="BD807" s="55"/>
    </row>
    <row r="808" spans="13:56" ht="14.25" customHeight="1">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c r="AX808" s="55"/>
      <c r="AY808" s="55"/>
      <c r="AZ808" s="55"/>
      <c r="BA808" s="55"/>
      <c r="BB808" s="55"/>
      <c r="BC808" s="55"/>
      <c r="BD808" s="55"/>
    </row>
    <row r="809" spans="13:56" ht="14.25" customHeight="1">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c r="AX809" s="55"/>
      <c r="AY809" s="55"/>
      <c r="AZ809" s="55"/>
      <c r="BA809" s="55"/>
      <c r="BB809" s="55"/>
      <c r="BC809" s="55"/>
      <c r="BD809" s="55"/>
    </row>
    <row r="810" spans="13:56" ht="14.25" customHeight="1">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c r="AX810" s="55"/>
      <c r="AY810" s="55"/>
      <c r="AZ810" s="55"/>
      <c r="BA810" s="55"/>
      <c r="BB810" s="55"/>
      <c r="BC810" s="55"/>
      <c r="BD810" s="55"/>
    </row>
    <row r="811" spans="13:56" ht="14.25" customHeight="1">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c r="AX811" s="55"/>
      <c r="AY811" s="55"/>
      <c r="AZ811" s="55"/>
      <c r="BA811" s="55"/>
      <c r="BB811" s="55"/>
      <c r="BC811" s="55"/>
      <c r="BD811" s="55"/>
    </row>
    <row r="812" spans="13:56" ht="14.25" customHeight="1">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c r="AX812" s="55"/>
      <c r="AY812" s="55"/>
      <c r="AZ812" s="55"/>
      <c r="BA812" s="55"/>
      <c r="BB812" s="55"/>
      <c r="BC812" s="55"/>
      <c r="BD812" s="55"/>
    </row>
    <row r="813" spans="13:56" ht="14.25" customHeight="1">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c r="AX813" s="55"/>
      <c r="AY813" s="55"/>
      <c r="AZ813" s="55"/>
      <c r="BA813" s="55"/>
      <c r="BB813" s="55"/>
      <c r="BC813" s="55"/>
      <c r="BD813" s="55"/>
    </row>
    <row r="814" spans="13:56" ht="14.25" customHeight="1">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c r="AX814" s="55"/>
      <c r="AY814" s="55"/>
      <c r="AZ814" s="55"/>
      <c r="BA814" s="55"/>
      <c r="BB814" s="55"/>
      <c r="BC814" s="55"/>
      <c r="BD814" s="55"/>
    </row>
    <row r="815" spans="13:56" ht="14.25" customHeight="1">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c r="AX815" s="55"/>
      <c r="AY815" s="55"/>
      <c r="AZ815" s="55"/>
      <c r="BA815" s="55"/>
      <c r="BB815" s="55"/>
      <c r="BC815" s="55"/>
      <c r="BD815" s="55"/>
    </row>
    <row r="816" spans="13:56" ht="14.25" customHeight="1">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c r="AX816" s="55"/>
      <c r="AY816" s="55"/>
      <c r="AZ816" s="55"/>
      <c r="BA816" s="55"/>
      <c r="BB816" s="55"/>
      <c r="BC816" s="55"/>
      <c r="BD816" s="55"/>
    </row>
    <row r="817" spans="13:56" ht="14.25" customHeight="1">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c r="AX817" s="55"/>
      <c r="AY817" s="55"/>
      <c r="AZ817" s="55"/>
      <c r="BA817" s="55"/>
      <c r="BB817" s="55"/>
      <c r="BC817" s="55"/>
      <c r="BD817" s="55"/>
    </row>
    <row r="818" spans="13:56" ht="14.25" customHeight="1">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c r="AX818" s="55"/>
      <c r="AY818" s="55"/>
      <c r="AZ818" s="55"/>
      <c r="BA818" s="55"/>
      <c r="BB818" s="55"/>
      <c r="BC818" s="55"/>
      <c r="BD818" s="55"/>
    </row>
    <row r="819" spans="13:56" ht="14.25" customHeight="1">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c r="AX819" s="55"/>
      <c r="AY819" s="55"/>
      <c r="AZ819" s="55"/>
      <c r="BA819" s="55"/>
      <c r="BB819" s="55"/>
      <c r="BC819" s="55"/>
      <c r="BD819" s="55"/>
    </row>
    <row r="820" spans="13:56" ht="14.25" customHeight="1">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c r="AX820" s="55"/>
      <c r="AY820" s="55"/>
      <c r="AZ820" s="55"/>
      <c r="BA820" s="55"/>
      <c r="BB820" s="55"/>
      <c r="BC820" s="55"/>
      <c r="BD820" s="55"/>
    </row>
    <row r="821" spans="13:56" ht="14.25" customHeight="1">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c r="AX821" s="55"/>
      <c r="AY821" s="55"/>
      <c r="AZ821" s="55"/>
      <c r="BA821" s="55"/>
      <c r="BB821" s="55"/>
      <c r="BC821" s="55"/>
      <c r="BD821" s="55"/>
    </row>
    <row r="822" spans="13:56" ht="14.25" customHeight="1">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c r="AX822" s="55"/>
      <c r="AY822" s="55"/>
      <c r="AZ822" s="55"/>
      <c r="BA822" s="55"/>
      <c r="BB822" s="55"/>
      <c r="BC822" s="55"/>
      <c r="BD822" s="55"/>
    </row>
    <row r="823" spans="13:56" ht="14.25" customHeight="1">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c r="AX823" s="55"/>
      <c r="AY823" s="55"/>
      <c r="AZ823" s="55"/>
      <c r="BA823" s="55"/>
      <c r="BB823" s="55"/>
      <c r="BC823" s="55"/>
      <c r="BD823" s="55"/>
    </row>
    <row r="824" spans="13:56" ht="14.25" customHeight="1">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c r="AX824" s="55"/>
      <c r="AY824" s="55"/>
      <c r="AZ824" s="55"/>
      <c r="BA824" s="55"/>
      <c r="BB824" s="55"/>
      <c r="BC824" s="55"/>
      <c r="BD824" s="55"/>
    </row>
    <row r="825" spans="13:56" ht="14.25" customHeight="1">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c r="AX825" s="55"/>
      <c r="AY825" s="55"/>
      <c r="AZ825" s="55"/>
      <c r="BA825" s="55"/>
      <c r="BB825" s="55"/>
      <c r="BC825" s="55"/>
      <c r="BD825" s="55"/>
    </row>
    <row r="826" spans="13:56" ht="14.25" customHeight="1">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c r="AX826" s="55"/>
      <c r="AY826" s="55"/>
      <c r="AZ826" s="55"/>
      <c r="BA826" s="55"/>
      <c r="BB826" s="55"/>
      <c r="BC826" s="55"/>
      <c r="BD826" s="55"/>
    </row>
    <row r="827" spans="13:56" ht="14.25" customHeight="1">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c r="AX827" s="55"/>
      <c r="AY827" s="55"/>
      <c r="AZ827" s="55"/>
      <c r="BA827" s="55"/>
      <c r="BB827" s="55"/>
      <c r="BC827" s="55"/>
      <c r="BD827" s="55"/>
    </row>
    <row r="828" spans="13:56" ht="14.25" customHeight="1">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c r="AX828" s="55"/>
      <c r="AY828" s="55"/>
      <c r="AZ828" s="55"/>
      <c r="BA828" s="55"/>
      <c r="BB828" s="55"/>
      <c r="BC828" s="55"/>
      <c r="BD828" s="55"/>
    </row>
    <row r="829" spans="13:56" ht="14.25" customHeight="1">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c r="AX829" s="55"/>
      <c r="AY829" s="55"/>
      <c r="AZ829" s="55"/>
      <c r="BA829" s="55"/>
      <c r="BB829" s="55"/>
      <c r="BC829" s="55"/>
      <c r="BD829" s="55"/>
    </row>
    <row r="830" spans="13:56" ht="14.25" customHeight="1">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c r="AX830" s="55"/>
      <c r="AY830" s="55"/>
      <c r="AZ830" s="55"/>
      <c r="BA830" s="55"/>
      <c r="BB830" s="55"/>
      <c r="BC830" s="55"/>
      <c r="BD830" s="55"/>
    </row>
    <row r="831" spans="13:56" ht="14.25" customHeight="1">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c r="AX831" s="55"/>
      <c r="AY831" s="55"/>
      <c r="AZ831" s="55"/>
      <c r="BA831" s="55"/>
      <c r="BB831" s="55"/>
      <c r="BC831" s="55"/>
      <c r="BD831" s="55"/>
    </row>
    <row r="832" spans="13:56" ht="14.25" customHeight="1">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c r="AX832" s="55"/>
      <c r="AY832" s="55"/>
      <c r="AZ832" s="55"/>
      <c r="BA832" s="55"/>
      <c r="BB832" s="55"/>
      <c r="BC832" s="55"/>
      <c r="BD832" s="55"/>
    </row>
    <row r="833" spans="13:56" ht="14.25" customHeight="1">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c r="AX833" s="55"/>
      <c r="AY833" s="55"/>
      <c r="AZ833" s="55"/>
      <c r="BA833" s="55"/>
      <c r="BB833" s="55"/>
      <c r="BC833" s="55"/>
      <c r="BD833" s="55"/>
    </row>
    <row r="834" spans="13:56" ht="14.25" customHeight="1">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c r="AX834" s="55"/>
      <c r="AY834" s="55"/>
      <c r="AZ834" s="55"/>
      <c r="BA834" s="55"/>
      <c r="BB834" s="55"/>
      <c r="BC834" s="55"/>
      <c r="BD834" s="55"/>
    </row>
    <row r="835" spans="13:56" ht="14.25" customHeight="1">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c r="AX835" s="55"/>
      <c r="AY835" s="55"/>
      <c r="AZ835" s="55"/>
      <c r="BA835" s="55"/>
      <c r="BB835" s="55"/>
      <c r="BC835" s="55"/>
      <c r="BD835" s="55"/>
    </row>
    <row r="836" spans="13:56" ht="14.25" customHeight="1">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c r="AX836" s="55"/>
      <c r="AY836" s="55"/>
      <c r="AZ836" s="55"/>
      <c r="BA836" s="55"/>
      <c r="BB836" s="55"/>
      <c r="BC836" s="55"/>
      <c r="BD836" s="55"/>
    </row>
    <row r="837" spans="13:56" ht="14.25" customHeight="1">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c r="AX837" s="55"/>
      <c r="AY837" s="55"/>
      <c r="AZ837" s="55"/>
      <c r="BA837" s="55"/>
      <c r="BB837" s="55"/>
      <c r="BC837" s="55"/>
      <c r="BD837" s="55"/>
    </row>
    <row r="838" spans="13:56" ht="14.25" customHeight="1">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c r="AX838" s="55"/>
      <c r="AY838" s="55"/>
      <c r="AZ838" s="55"/>
      <c r="BA838" s="55"/>
      <c r="BB838" s="55"/>
      <c r="BC838" s="55"/>
      <c r="BD838" s="55"/>
    </row>
    <row r="839" spans="13:56" ht="14.25" customHeight="1">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c r="AX839" s="55"/>
      <c r="AY839" s="55"/>
      <c r="AZ839" s="55"/>
      <c r="BA839" s="55"/>
      <c r="BB839" s="55"/>
      <c r="BC839" s="55"/>
      <c r="BD839" s="55"/>
    </row>
    <row r="840" spans="13:56" ht="14.25" customHeight="1">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c r="AX840" s="55"/>
      <c r="AY840" s="55"/>
      <c r="AZ840" s="55"/>
      <c r="BA840" s="55"/>
      <c r="BB840" s="55"/>
      <c r="BC840" s="55"/>
      <c r="BD840" s="55"/>
    </row>
    <row r="841" spans="13:56" ht="14.25" customHeight="1">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c r="AX841" s="55"/>
      <c r="AY841" s="55"/>
      <c r="AZ841" s="55"/>
      <c r="BA841" s="55"/>
      <c r="BB841" s="55"/>
      <c r="BC841" s="55"/>
      <c r="BD841" s="55"/>
    </row>
    <row r="842" spans="13:56" ht="14.25" customHeight="1">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c r="AX842" s="55"/>
      <c r="AY842" s="55"/>
      <c r="AZ842" s="55"/>
      <c r="BA842" s="55"/>
      <c r="BB842" s="55"/>
      <c r="BC842" s="55"/>
      <c r="BD842" s="55"/>
    </row>
    <row r="843" spans="13:56" ht="14.25" customHeight="1">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c r="AX843" s="55"/>
      <c r="AY843" s="55"/>
      <c r="AZ843" s="55"/>
      <c r="BA843" s="55"/>
      <c r="BB843" s="55"/>
      <c r="BC843" s="55"/>
      <c r="BD843" s="55"/>
    </row>
    <row r="844" spans="13:56" ht="14.25" customHeight="1">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c r="AX844" s="55"/>
      <c r="AY844" s="55"/>
      <c r="AZ844" s="55"/>
      <c r="BA844" s="55"/>
      <c r="BB844" s="55"/>
      <c r="BC844" s="55"/>
      <c r="BD844" s="55"/>
    </row>
    <row r="845" spans="13:56" ht="14.25" customHeight="1">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c r="AX845" s="55"/>
      <c r="AY845" s="55"/>
      <c r="AZ845" s="55"/>
      <c r="BA845" s="55"/>
      <c r="BB845" s="55"/>
      <c r="BC845" s="55"/>
      <c r="BD845" s="55"/>
    </row>
    <row r="846" spans="13:56" ht="14.25" customHeight="1">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c r="AX846" s="55"/>
      <c r="AY846" s="55"/>
      <c r="AZ846" s="55"/>
      <c r="BA846" s="55"/>
      <c r="BB846" s="55"/>
      <c r="BC846" s="55"/>
      <c r="BD846" s="55"/>
    </row>
    <row r="847" spans="13:56" ht="14.25" customHeight="1">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c r="AX847" s="55"/>
      <c r="AY847" s="55"/>
      <c r="AZ847" s="55"/>
      <c r="BA847" s="55"/>
      <c r="BB847" s="55"/>
      <c r="BC847" s="55"/>
      <c r="BD847" s="55"/>
    </row>
    <row r="848" spans="13:56" ht="14.25" customHeight="1">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c r="AX848" s="55"/>
      <c r="AY848" s="55"/>
      <c r="AZ848" s="55"/>
      <c r="BA848" s="55"/>
      <c r="BB848" s="55"/>
      <c r="BC848" s="55"/>
      <c r="BD848" s="55"/>
    </row>
    <row r="849" spans="13:56" ht="14.25" customHeight="1">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c r="AX849" s="55"/>
      <c r="AY849" s="55"/>
      <c r="AZ849" s="55"/>
      <c r="BA849" s="55"/>
      <c r="BB849" s="55"/>
      <c r="BC849" s="55"/>
      <c r="BD849" s="55"/>
    </row>
    <row r="850" spans="13:56" ht="14.25" customHeight="1">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c r="AX850" s="55"/>
      <c r="AY850" s="55"/>
      <c r="AZ850" s="55"/>
      <c r="BA850" s="55"/>
      <c r="BB850" s="55"/>
      <c r="BC850" s="55"/>
      <c r="BD850" s="55"/>
    </row>
    <row r="851" spans="13:56" ht="14.25" customHeight="1">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c r="AX851" s="55"/>
      <c r="AY851" s="55"/>
      <c r="AZ851" s="55"/>
      <c r="BA851" s="55"/>
      <c r="BB851" s="55"/>
      <c r="BC851" s="55"/>
      <c r="BD851" s="55"/>
    </row>
    <row r="852" spans="13:56" ht="14.25" customHeight="1">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c r="AX852" s="55"/>
      <c r="AY852" s="55"/>
      <c r="AZ852" s="55"/>
      <c r="BA852" s="55"/>
      <c r="BB852" s="55"/>
      <c r="BC852" s="55"/>
      <c r="BD852" s="55"/>
    </row>
    <row r="853" spans="13:56" ht="14.25" customHeight="1">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c r="AX853" s="55"/>
      <c r="AY853" s="55"/>
      <c r="AZ853" s="55"/>
      <c r="BA853" s="55"/>
      <c r="BB853" s="55"/>
      <c r="BC853" s="55"/>
      <c r="BD853" s="55"/>
    </row>
    <row r="854" spans="13:56" ht="14.25" customHeight="1">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c r="AX854" s="55"/>
      <c r="AY854" s="55"/>
      <c r="AZ854" s="55"/>
      <c r="BA854" s="55"/>
      <c r="BB854" s="55"/>
      <c r="BC854" s="55"/>
      <c r="BD854" s="55"/>
    </row>
    <row r="855" spans="13:56" ht="14.25" customHeight="1">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c r="AX855" s="55"/>
      <c r="AY855" s="55"/>
      <c r="AZ855" s="55"/>
      <c r="BA855" s="55"/>
      <c r="BB855" s="55"/>
      <c r="BC855" s="55"/>
      <c r="BD855" s="55"/>
    </row>
    <row r="856" spans="13:56" ht="14.25" customHeight="1">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c r="AX856" s="55"/>
      <c r="AY856" s="55"/>
      <c r="AZ856" s="55"/>
      <c r="BA856" s="55"/>
      <c r="BB856" s="55"/>
      <c r="BC856" s="55"/>
      <c r="BD856" s="55"/>
    </row>
    <row r="857" spans="13:56" ht="14.25" customHeight="1">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c r="AX857" s="55"/>
      <c r="AY857" s="55"/>
      <c r="AZ857" s="55"/>
      <c r="BA857" s="55"/>
      <c r="BB857" s="55"/>
      <c r="BC857" s="55"/>
      <c r="BD857" s="55"/>
    </row>
    <row r="858" spans="13:56" ht="14.25" customHeight="1">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c r="AX858" s="55"/>
      <c r="AY858" s="55"/>
      <c r="AZ858" s="55"/>
      <c r="BA858" s="55"/>
      <c r="BB858" s="55"/>
      <c r="BC858" s="55"/>
      <c r="BD858" s="55"/>
    </row>
    <row r="859" spans="13:56" ht="14.25" customHeight="1">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c r="AX859" s="55"/>
      <c r="AY859" s="55"/>
      <c r="AZ859" s="55"/>
      <c r="BA859" s="55"/>
      <c r="BB859" s="55"/>
      <c r="BC859" s="55"/>
      <c r="BD859" s="55"/>
    </row>
    <row r="860" spans="13:56" ht="14.25" customHeight="1">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c r="AX860" s="55"/>
      <c r="AY860" s="55"/>
      <c r="AZ860" s="55"/>
      <c r="BA860" s="55"/>
      <c r="BB860" s="55"/>
      <c r="BC860" s="55"/>
      <c r="BD860" s="55"/>
    </row>
    <row r="861" spans="13:56" ht="14.25" customHeight="1">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c r="AX861" s="55"/>
      <c r="AY861" s="55"/>
      <c r="AZ861" s="55"/>
      <c r="BA861" s="55"/>
      <c r="BB861" s="55"/>
      <c r="BC861" s="55"/>
      <c r="BD861" s="55"/>
    </row>
    <row r="862" spans="13:56" ht="14.25" customHeight="1">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c r="AX862" s="55"/>
      <c r="AY862" s="55"/>
      <c r="AZ862" s="55"/>
      <c r="BA862" s="55"/>
      <c r="BB862" s="55"/>
      <c r="BC862" s="55"/>
      <c r="BD862" s="55"/>
    </row>
    <row r="863" spans="13:56" ht="14.25" customHeight="1">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c r="AX863" s="55"/>
      <c r="AY863" s="55"/>
      <c r="AZ863" s="55"/>
      <c r="BA863" s="55"/>
      <c r="BB863" s="55"/>
      <c r="BC863" s="55"/>
      <c r="BD863" s="55"/>
    </row>
    <row r="864" spans="13:56" ht="14.25" customHeight="1">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c r="AX864" s="55"/>
      <c r="AY864" s="55"/>
      <c r="AZ864" s="55"/>
      <c r="BA864" s="55"/>
      <c r="BB864" s="55"/>
      <c r="BC864" s="55"/>
      <c r="BD864" s="55"/>
    </row>
    <row r="865" spans="13:56" ht="14.25" customHeight="1">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c r="AX865" s="55"/>
      <c r="AY865" s="55"/>
      <c r="AZ865" s="55"/>
      <c r="BA865" s="55"/>
      <c r="BB865" s="55"/>
      <c r="BC865" s="55"/>
      <c r="BD865" s="55"/>
    </row>
    <row r="866" spans="13:56" ht="14.25" customHeight="1">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c r="AX866" s="55"/>
      <c r="AY866" s="55"/>
      <c r="AZ866" s="55"/>
      <c r="BA866" s="55"/>
      <c r="BB866" s="55"/>
      <c r="BC866" s="55"/>
      <c r="BD866" s="55"/>
    </row>
    <row r="867" spans="13:56" ht="14.25" customHeight="1">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c r="AX867" s="55"/>
      <c r="AY867" s="55"/>
      <c r="AZ867" s="55"/>
      <c r="BA867" s="55"/>
      <c r="BB867" s="55"/>
      <c r="BC867" s="55"/>
      <c r="BD867" s="55"/>
    </row>
    <row r="868" spans="13:56" ht="14.25" customHeight="1">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c r="AX868" s="55"/>
      <c r="AY868" s="55"/>
      <c r="AZ868" s="55"/>
      <c r="BA868" s="55"/>
      <c r="BB868" s="55"/>
      <c r="BC868" s="55"/>
      <c r="BD868" s="55"/>
    </row>
    <row r="869" spans="13:56" ht="14.25" customHeight="1">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c r="AX869" s="55"/>
      <c r="AY869" s="55"/>
      <c r="AZ869" s="55"/>
      <c r="BA869" s="55"/>
      <c r="BB869" s="55"/>
      <c r="BC869" s="55"/>
      <c r="BD869" s="55"/>
    </row>
    <row r="870" spans="13:56" ht="14.25" customHeight="1">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c r="AX870" s="55"/>
      <c r="AY870" s="55"/>
      <c r="AZ870" s="55"/>
      <c r="BA870" s="55"/>
      <c r="BB870" s="55"/>
      <c r="BC870" s="55"/>
      <c r="BD870" s="55"/>
    </row>
    <row r="871" spans="13:56" ht="14.25" customHeight="1">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c r="AX871" s="55"/>
      <c r="AY871" s="55"/>
      <c r="AZ871" s="55"/>
      <c r="BA871" s="55"/>
      <c r="BB871" s="55"/>
      <c r="BC871" s="55"/>
      <c r="BD871" s="55"/>
    </row>
    <row r="872" spans="13:56" ht="14.25" customHeight="1">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c r="AX872" s="55"/>
      <c r="AY872" s="55"/>
      <c r="AZ872" s="55"/>
      <c r="BA872" s="55"/>
      <c r="BB872" s="55"/>
      <c r="BC872" s="55"/>
      <c r="BD872" s="55"/>
    </row>
    <row r="873" spans="13:56" ht="14.25" customHeight="1">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c r="AX873" s="55"/>
      <c r="AY873" s="55"/>
      <c r="AZ873" s="55"/>
      <c r="BA873" s="55"/>
      <c r="BB873" s="55"/>
      <c r="BC873" s="55"/>
      <c r="BD873" s="55"/>
    </row>
    <row r="874" spans="13:56" ht="14.25" customHeight="1">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c r="AX874" s="55"/>
      <c r="AY874" s="55"/>
      <c r="AZ874" s="55"/>
      <c r="BA874" s="55"/>
      <c r="BB874" s="55"/>
      <c r="BC874" s="55"/>
      <c r="BD874" s="55"/>
    </row>
    <row r="875" spans="13:56" ht="14.25" customHeight="1">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c r="AX875" s="55"/>
      <c r="AY875" s="55"/>
      <c r="AZ875" s="55"/>
      <c r="BA875" s="55"/>
      <c r="BB875" s="55"/>
      <c r="BC875" s="55"/>
      <c r="BD875" s="55"/>
    </row>
    <row r="876" spans="13:56" ht="14.25" customHeight="1">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c r="AX876" s="55"/>
      <c r="AY876" s="55"/>
      <c r="AZ876" s="55"/>
      <c r="BA876" s="55"/>
      <c r="BB876" s="55"/>
      <c r="BC876" s="55"/>
      <c r="BD876" s="55"/>
    </row>
    <row r="877" spans="13:56" ht="14.25" customHeight="1">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c r="AX877" s="55"/>
      <c r="AY877" s="55"/>
      <c r="AZ877" s="55"/>
      <c r="BA877" s="55"/>
      <c r="BB877" s="55"/>
      <c r="BC877" s="55"/>
      <c r="BD877" s="55"/>
    </row>
    <row r="878" spans="13:56" ht="14.25" customHeight="1">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c r="AX878" s="55"/>
      <c r="AY878" s="55"/>
      <c r="AZ878" s="55"/>
      <c r="BA878" s="55"/>
      <c r="BB878" s="55"/>
      <c r="BC878" s="55"/>
      <c r="BD878" s="55"/>
    </row>
    <row r="879" spans="13:56" ht="14.25" customHeight="1">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c r="AX879" s="55"/>
      <c r="AY879" s="55"/>
      <c r="AZ879" s="55"/>
      <c r="BA879" s="55"/>
      <c r="BB879" s="55"/>
      <c r="BC879" s="55"/>
      <c r="BD879" s="55"/>
    </row>
    <row r="880" spans="13:56" ht="14.25" customHeight="1">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c r="AX880" s="55"/>
      <c r="AY880" s="55"/>
      <c r="AZ880" s="55"/>
      <c r="BA880" s="55"/>
      <c r="BB880" s="55"/>
      <c r="BC880" s="55"/>
      <c r="BD880" s="55"/>
    </row>
    <row r="881" spans="13:56" ht="14.25" customHeight="1">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c r="AX881" s="55"/>
      <c r="AY881" s="55"/>
      <c r="AZ881" s="55"/>
      <c r="BA881" s="55"/>
      <c r="BB881" s="55"/>
      <c r="BC881" s="55"/>
      <c r="BD881" s="55"/>
    </row>
    <row r="882" spans="13:56" ht="14.25" customHeight="1">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c r="AX882" s="55"/>
      <c r="AY882" s="55"/>
      <c r="AZ882" s="55"/>
      <c r="BA882" s="55"/>
      <c r="BB882" s="55"/>
      <c r="BC882" s="55"/>
      <c r="BD882" s="55"/>
    </row>
    <row r="883" spans="13:56" ht="14.25" customHeight="1">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c r="AX883" s="55"/>
      <c r="AY883" s="55"/>
      <c r="AZ883" s="55"/>
      <c r="BA883" s="55"/>
      <c r="BB883" s="55"/>
      <c r="BC883" s="55"/>
      <c r="BD883" s="55"/>
    </row>
    <row r="884" spans="13:56" ht="14.25" customHeight="1">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c r="AX884" s="55"/>
      <c r="AY884" s="55"/>
      <c r="AZ884" s="55"/>
      <c r="BA884" s="55"/>
      <c r="BB884" s="55"/>
      <c r="BC884" s="55"/>
      <c r="BD884" s="55"/>
    </row>
    <row r="885" spans="13:56" ht="14.25" customHeight="1">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c r="AX885" s="55"/>
      <c r="AY885" s="55"/>
      <c r="AZ885" s="55"/>
      <c r="BA885" s="55"/>
      <c r="BB885" s="55"/>
      <c r="BC885" s="55"/>
      <c r="BD885" s="55"/>
    </row>
    <row r="886" spans="13:56" ht="14.25" customHeight="1">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c r="AX886" s="55"/>
      <c r="AY886" s="55"/>
      <c r="AZ886" s="55"/>
      <c r="BA886" s="55"/>
      <c r="BB886" s="55"/>
      <c r="BC886" s="55"/>
      <c r="BD886" s="55"/>
    </row>
    <row r="887" spans="13:56" ht="14.25" customHeight="1">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c r="AX887" s="55"/>
      <c r="AY887" s="55"/>
      <c r="AZ887" s="55"/>
      <c r="BA887" s="55"/>
      <c r="BB887" s="55"/>
      <c r="BC887" s="55"/>
      <c r="BD887" s="55"/>
    </row>
    <row r="888" spans="13:56" ht="14.25" customHeight="1">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c r="AX888" s="55"/>
      <c r="AY888" s="55"/>
      <c r="AZ888" s="55"/>
      <c r="BA888" s="55"/>
      <c r="BB888" s="55"/>
      <c r="BC888" s="55"/>
      <c r="BD888" s="55"/>
    </row>
    <row r="889" spans="13:56" ht="14.25" customHeight="1">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c r="AX889" s="55"/>
      <c r="AY889" s="55"/>
      <c r="AZ889" s="55"/>
      <c r="BA889" s="55"/>
      <c r="BB889" s="55"/>
      <c r="BC889" s="55"/>
      <c r="BD889" s="55"/>
    </row>
    <row r="890" spans="13:56" ht="14.25" customHeight="1">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c r="AX890" s="55"/>
      <c r="AY890" s="55"/>
      <c r="AZ890" s="55"/>
      <c r="BA890" s="55"/>
      <c r="BB890" s="55"/>
      <c r="BC890" s="55"/>
      <c r="BD890" s="55"/>
    </row>
    <row r="891" spans="13:56" ht="14.25" customHeight="1">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c r="AX891" s="55"/>
      <c r="AY891" s="55"/>
      <c r="AZ891" s="55"/>
      <c r="BA891" s="55"/>
      <c r="BB891" s="55"/>
      <c r="BC891" s="55"/>
      <c r="BD891" s="55"/>
    </row>
    <row r="892" spans="13:56" ht="14.25" customHeight="1">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c r="AX892" s="55"/>
      <c r="AY892" s="55"/>
      <c r="AZ892" s="55"/>
      <c r="BA892" s="55"/>
      <c r="BB892" s="55"/>
      <c r="BC892" s="55"/>
      <c r="BD892" s="55"/>
    </row>
    <row r="893" spans="13:56" ht="14.25" customHeight="1">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c r="AX893" s="55"/>
      <c r="AY893" s="55"/>
      <c r="AZ893" s="55"/>
      <c r="BA893" s="55"/>
      <c r="BB893" s="55"/>
      <c r="BC893" s="55"/>
      <c r="BD893" s="55"/>
    </row>
    <row r="894" spans="13:56" ht="14.25" customHeight="1">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c r="AX894" s="55"/>
      <c r="AY894" s="55"/>
      <c r="AZ894" s="55"/>
      <c r="BA894" s="55"/>
      <c r="BB894" s="55"/>
      <c r="BC894" s="55"/>
      <c r="BD894" s="55"/>
    </row>
    <row r="895" spans="13:56" ht="14.25" customHeight="1">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c r="AX895" s="55"/>
      <c r="AY895" s="55"/>
      <c r="AZ895" s="55"/>
      <c r="BA895" s="55"/>
      <c r="BB895" s="55"/>
      <c r="BC895" s="55"/>
      <c r="BD895" s="55"/>
    </row>
    <row r="896" spans="13:56" ht="14.25" customHeight="1">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c r="AX896" s="55"/>
      <c r="AY896" s="55"/>
      <c r="AZ896" s="55"/>
      <c r="BA896" s="55"/>
      <c r="BB896" s="55"/>
      <c r="BC896" s="55"/>
      <c r="BD896" s="55"/>
    </row>
    <row r="897" spans="13:56" ht="14.25" customHeight="1">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c r="AX897" s="55"/>
      <c r="AY897" s="55"/>
      <c r="AZ897" s="55"/>
      <c r="BA897" s="55"/>
      <c r="BB897" s="55"/>
      <c r="BC897" s="55"/>
      <c r="BD897" s="55"/>
    </row>
    <row r="898" spans="13:56" ht="14.25" customHeight="1">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c r="AX898" s="55"/>
      <c r="AY898" s="55"/>
      <c r="AZ898" s="55"/>
      <c r="BA898" s="55"/>
      <c r="BB898" s="55"/>
      <c r="BC898" s="55"/>
      <c r="BD898" s="55"/>
    </row>
    <row r="899" spans="13:56" ht="14.25" customHeight="1">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c r="AX899" s="55"/>
      <c r="AY899" s="55"/>
      <c r="AZ899" s="55"/>
      <c r="BA899" s="55"/>
      <c r="BB899" s="55"/>
      <c r="BC899" s="55"/>
      <c r="BD899" s="55"/>
    </row>
    <row r="900" spans="13:56" ht="14.25" customHeight="1">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c r="AX900" s="55"/>
      <c r="AY900" s="55"/>
      <c r="AZ900" s="55"/>
      <c r="BA900" s="55"/>
      <c r="BB900" s="55"/>
      <c r="BC900" s="55"/>
      <c r="BD900" s="55"/>
    </row>
    <row r="901" spans="13:56" ht="14.25" customHeight="1">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c r="AX901" s="55"/>
      <c r="AY901" s="55"/>
      <c r="AZ901" s="55"/>
      <c r="BA901" s="55"/>
      <c r="BB901" s="55"/>
      <c r="BC901" s="55"/>
      <c r="BD901" s="55"/>
    </row>
    <row r="902" spans="13:56" ht="14.25" customHeight="1">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c r="AX902" s="55"/>
      <c r="AY902" s="55"/>
      <c r="AZ902" s="55"/>
      <c r="BA902" s="55"/>
      <c r="BB902" s="55"/>
      <c r="BC902" s="55"/>
      <c r="BD902" s="55"/>
    </row>
    <row r="903" spans="13:56" ht="14.25" customHeight="1">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c r="AX903" s="55"/>
      <c r="AY903" s="55"/>
      <c r="AZ903" s="55"/>
      <c r="BA903" s="55"/>
      <c r="BB903" s="55"/>
      <c r="BC903" s="55"/>
      <c r="BD903" s="55"/>
    </row>
    <row r="904" spans="13:56" ht="14.25" customHeight="1">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c r="AX904" s="55"/>
      <c r="AY904" s="55"/>
      <c r="AZ904" s="55"/>
      <c r="BA904" s="55"/>
      <c r="BB904" s="55"/>
      <c r="BC904" s="55"/>
      <c r="BD904" s="55"/>
    </row>
    <row r="905" spans="13:56" ht="14.25" customHeight="1">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c r="AX905" s="55"/>
      <c r="AY905" s="55"/>
      <c r="AZ905" s="55"/>
      <c r="BA905" s="55"/>
      <c r="BB905" s="55"/>
      <c r="BC905" s="55"/>
      <c r="BD905" s="55"/>
    </row>
    <row r="906" spans="13:56" ht="14.25" customHeight="1">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c r="AX906" s="55"/>
      <c r="AY906" s="55"/>
      <c r="AZ906" s="55"/>
      <c r="BA906" s="55"/>
      <c r="BB906" s="55"/>
      <c r="BC906" s="55"/>
      <c r="BD906" s="55"/>
    </row>
    <row r="907" spans="13:56" ht="14.25" customHeight="1">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c r="AX907" s="55"/>
      <c r="AY907" s="55"/>
      <c r="AZ907" s="55"/>
      <c r="BA907" s="55"/>
      <c r="BB907" s="55"/>
      <c r="BC907" s="55"/>
      <c r="BD907" s="55"/>
    </row>
    <row r="908" spans="13:56" ht="14.25" customHeight="1">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c r="AX908" s="55"/>
      <c r="AY908" s="55"/>
      <c r="AZ908" s="55"/>
      <c r="BA908" s="55"/>
      <c r="BB908" s="55"/>
      <c r="BC908" s="55"/>
      <c r="BD908" s="55"/>
    </row>
    <row r="909" spans="13:56" ht="14.25" customHeight="1">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c r="AX909" s="55"/>
      <c r="AY909" s="55"/>
      <c r="AZ909" s="55"/>
      <c r="BA909" s="55"/>
      <c r="BB909" s="55"/>
      <c r="BC909" s="55"/>
      <c r="BD909" s="55"/>
    </row>
    <row r="910" spans="13:56" ht="14.25" customHeight="1">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c r="AX910" s="55"/>
      <c r="AY910" s="55"/>
      <c r="AZ910" s="55"/>
      <c r="BA910" s="55"/>
      <c r="BB910" s="55"/>
      <c r="BC910" s="55"/>
      <c r="BD910" s="55"/>
    </row>
    <row r="911" spans="13:56" ht="14.25" customHeight="1">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c r="AX911" s="55"/>
      <c r="AY911" s="55"/>
      <c r="AZ911" s="55"/>
      <c r="BA911" s="55"/>
      <c r="BB911" s="55"/>
      <c r="BC911" s="55"/>
      <c r="BD911" s="55"/>
    </row>
    <row r="912" spans="13:56" ht="14.25" customHeight="1">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c r="AX912" s="55"/>
      <c r="AY912" s="55"/>
      <c r="AZ912" s="55"/>
      <c r="BA912" s="55"/>
      <c r="BB912" s="55"/>
      <c r="BC912" s="55"/>
      <c r="BD912" s="55"/>
    </row>
    <row r="913" spans="13:56" ht="14.25" customHeight="1">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c r="AX913" s="55"/>
      <c r="AY913" s="55"/>
      <c r="AZ913" s="55"/>
      <c r="BA913" s="55"/>
      <c r="BB913" s="55"/>
      <c r="BC913" s="55"/>
      <c r="BD913" s="55"/>
    </row>
    <row r="914" spans="13:56" ht="14.25" customHeight="1">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c r="AX914" s="55"/>
      <c r="AY914" s="55"/>
      <c r="AZ914" s="55"/>
      <c r="BA914" s="55"/>
      <c r="BB914" s="55"/>
      <c r="BC914" s="55"/>
      <c r="BD914" s="55"/>
    </row>
    <row r="915" spans="13:56" ht="14.25" customHeight="1">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c r="AX915" s="55"/>
      <c r="AY915" s="55"/>
      <c r="AZ915" s="55"/>
      <c r="BA915" s="55"/>
      <c r="BB915" s="55"/>
      <c r="BC915" s="55"/>
      <c r="BD915" s="55"/>
    </row>
    <row r="916" spans="13:56" ht="14.25" customHeight="1">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c r="AX916" s="55"/>
      <c r="AY916" s="55"/>
      <c r="AZ916" s="55"/>
      <c r="BA916" s="55"/>
      <c r="BB916" s="55"/>
      <c r="BC916" s="55"/>
      <c r="BD916" s="55"/>
    </row>
    <row r="917" spans="13:56" ht="14.25" customHeight="1">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c r="AX917" s="55"/>
      <c r="AY917" s="55"/>
      <c r="AZ917" s="55"/>
      <c r="BA917" s="55"/>
      <c r="BB917" s="55"/>
      <c r="BC917" s="55"/>
      <c r="BD917" s="55"/>
    </row>
    <row r="918" spans="13:56" ht="14.25" customHeight="1">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c r="AX918" s="55"/>
      <c r="AY918" s="55"/>
      <c r="AZ918" s="55"/>
      <c r="BA918" s="55"/>
      <c r="BB918" s="55"/>
      <c r="BC918" s="55"/>
      <c r="BD918" s="55"/>
    </row>
    <row r="919" spans="13:56" ht="14.25" customHeight="1">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c r="AX919" s="55"/>
      <c r="AY919" s="55"/>
      <c r="AZ919" s="55"/>
      <c r="BA919" s="55"/>
      <c r="BB919" s="55"/>
      <c r="BC919" s="55"/>
      <c r="BD919" s="55"/>
    </row>
    <row r="920" spans="13:56" ht="14.25" customHeight="1">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c r="AX920" s="55"/>
      <c r="AY920" s="55"/>
      <c r="AZ920" s="55"/>
      <c r="BA920" s="55"/>
      <c r="BB920" s="55"/>
      <c r="BC920" s="55"/>
      <c r="BD920" s="55"/>
    </row>
    <row r="921" spans="13:56" ht="14.25" customHeight="1">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c r="AX921" s="55"/>
      <c r="AY921" s="55"/>
      <c r="AZ921" s="55"/>
      <c r="BA921" s="55"/>
      <c r="BB921" s="55"/>
      <c r="BC921" s="55"/>
      <c r="BD921" s="55"/>
    </row>
    <row r="922" spans="13:56" ht="14.25" customHeight="1">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c r="AX922" s="55"/>
      <c r="AY922" s="55"/>
      <c r="AZ922" s="55"/>
      <c r="BA922" s="55"/>
      <c r="BB922" s="55"/>
      <c r="BC922" s="55"/>
      <c r="BD922" s="55"/>
    </row>
    <row r="923" spans="13:56" ht="14.25" customHeight="1">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c r="AX923" s="55"/>
      <c r="AY923" s="55"/>
      <c r="AZ923" s="55"/>
      <c r="BA923" s="55"/>
      <c r="BB923" s="55"/>
      <c r="BC923" s="55"/>
      <c r="BD923" s="55"/>
    </row>
    <row r="924" spans="13:56" ht="14.25" customHeight="1">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c r="AX924" s="55"/>
      <c r="AY924" s="55"/>
      <c r="AZ924" s="55"/>
      <c r="BA924" s="55"/>
      <c r="BB924" s="55"/>
      <c r="BC924" s="55"/>
      <c r="BD924" s="55"/>
    </row>
    <row r="925" spans="13:56" ht="14.25" customHeight="1">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c r="AX925" s="55"/>
      <c r="AY925" s="55"/>
      <c r="AZ925" s="55"/>
      <c r="BA925" s="55"/>
      <c r="BB925" s="55"/>
      <c r="BC925" s="55"/>
      <c r="BD925" s="55"/>
    </row>
    <row r="926" spans="13:56" ht="14.25" customHeight="1">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c r="AX926" s="55"/>
      <c r="AY926" s="55"/>
      <c r="AZ926" s="55"/>
      <c r="BA926" s="55"/>
      <c r="BB926" s="55"/>
      <c r="BC926" s="55"/>
      <c r="BD926" s="55"/>
    </row>
    <row r="927" spans="13:56" ht="14.25" customHeight="1">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c r="AX927" s="55"/>
      <c r="AY927" s="55"/>
      <c r="AZ927" s="55"/>
      <c r="BA927" s="55"/>
      <c r="BB927" s="55"/>
      <c r="BC927" s="55"/>
      <c r="BD927" s="55"/>
    </row>
    <row r="928" spans="13:56" ht="14.25" customHeight="1">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c r="AX928" s="55"/>
      <c r="AY928" s="55"/>
      <c r="AZ928" s="55"/>
      <c r="BA928" s="55"/>
      <c r="BB928" s="55"/>
      <c r="BC928" s="55"/>
      <c r="BD928" s="55"/>
    </row>
    <row r="929" spans="13:56" ht="14.25" customHeight="1">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c r="AX929" s="55"/>
      <c r="AY929" s="55"/>
      <c r="AZ929" s="55"/>
      <c r="BA929" s="55"/>
      <c r="BB929" s="55"/>
      <c r="BC929" s="55"/>
      <c r="BD929" s="55"/>
    </row>
    <row r="930" spans="13:56" ht="14.25" customHeight="1">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c r="AX930" s="55"/>
      <c r="AY930" s="55"/>
      <c r="AZ930" s="55"/>
      <c r="BA930" s="55"/>
      <c r="BB930" s="55"/>
      <c r="BC930" s="55"/>
      <c r="BD930" s="55"/>
    </row>
    <row r="931" spans="13:56" ht="14.25" customHeight="1">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c r="AX931" s="55"/>
      <c r="AY931" s="55"/>
      <c r="AZ931" s="55"/>
      <c r="BA931" s="55"/>
      <c r="BB931" s="55"/>
      <c r="BC931" s="55"/>
      <c r="BD931" s="55"/>
    </row>
    <row r="932" spans="13:56" ht="14.25" customHeight="1">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c r="AX932" s="55"/>
      <c r="AY932" s="55"/>
      <c r="AZ932" s="55"/>
      <c r="BA932" s="55"/>
      <c r="BB932" s="55"/>
      <c r="BC932" s="55"/>
      <c r="BD932" s="55"/>
    </row>
    <row r="933" spans="13:56" ht="14.25" customHeight="1">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c r="AX933" s="55"/>
      <c r="AY933" s="55"/>
      <c r="AZ933" s="55"/>
      <c r="BA933" s="55"/>
      <c r="BB933" s="55"/>
      <c r="BC933" s="55"/>
      <c r="BD933" s="55"/>
    </row>
    <row r="934" spans="13:56" ht="14.25" customHeight="1">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c r="AX934" s="55"/>
      <c r="AY934" s="55"/>
      <c r="AZ934" s="55"/>
      <c r="BA934" s="55"/>
      <c r="BB934" s="55"/>
      <c r="BC934" s="55"/>
      <c r="BD934" s="55"/>
    </row>
    <row r="935" spans="13:56" ht="14.25" customHeight="1">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c r="AX935" s="55"/>
      <c r="AY935" s="55"/>
      <c r="AZ935" s="55"/>
      <c r="BA935" s="55"/>
      <c r="BB935" s="55"/>
      <c r="BC935" s="55"/>
      <c r="BD935" s="55"/>
    </row>
    <row r="936" spans="13:56" ht="14.25" customHeight="1">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c r="AX936" s="55"/>
      <c r="AY936" s="55"/>
      <c r="AZ936" s="55"/>
      <c r="BA936" s="55"/>
      <c r="BB936" s="55"/>
      <c r="BC936" s="55"/>
      <c r="BD936" s="55"/>
    </row>
    <row r="937" spans="13:56" ht="14.25" customHeight="1">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c r="AX937" s="55"/>
      <c r="AY937" s="55"/>
      <c r="AZ937" s="55"/>
      <c r="BA937" s="55"/>
      <c r="BB937" s="55"/>
      <c r="BC937" s="55"/>
      <c r="BD937" s="55"/>
    </row>
    <row r="938" spans="13:56" ht="14.25" customHeight="1">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c r="AX938" s="55"/>
      <c r="AY938" s="55"/>
      <c r="AZ938" s="55"/>
      <c r="BA938" s="55"/>
      <c r="BB938" s="55"/>
      <c r="BC938" s="55"/>
      <c r="BD938" s="55"/>
    </row>
    <row r="939" spans="13:56" ht="14.25" customHeight="1">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c r="AX939" s="55"/>
      <c r="AY939" s="55"/>
      <c r="AZ939" s="55"/>
      <c r="BA939" s="55"/>
      <c r="BB939" s="55"/>
      <c r="BC939" s="55"/>
      <c r="BD939" s="55"/>
    </row>
    <row r="940" spans="13:56" ht="14.25" customHeight="1">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c r="AX940" s="55"/>
      <c r="AY940" s="55"/>
      <c r="AZ940" s="55"/>
      <c r="BA940" s="55"/>
      <c r="BB940" s="55"/>
      <c r="BC940" s="55"/>
      <c r="BD940" s="55"/>
    </row>
    <row r="941" spans="13:56" ht="14.25" customHeight="1">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c r="AX941" s="55"/>
      <c r="AY941" s="55"/>
      <c r="AZ941" s="55"/>
      <c r="BA941" s="55"/>
      <c r="BB941" s="55"/>
      <c r="BC941" s="55"/>
      <c r="BD941" s="55"/>
    </row>
    <row r="942" spans="13:56" ht="14.25" customHeight="1">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c r="AX942" s="55"/>
      <c r="AY942" s="55"/>
      <c r="AZ942" s="55"/>
      <c r="BA942" s="55"/>
      <c r="BB942" s="55"/>
      <c r="BC942" s="55"/>
      <c r="BD942" s="55"/>
    </row>
    <row r="943" spans="13:56" ht="14.25" customHeight="1">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c r="AX943" s="55"/>
      <c r="AY943" s="55"/>
      <c r="AZ943" s="55"/>
      <c r="BA943" s="55"/>
      <c r="BB943" s="55"/>
      <c r="BC943" s="55"/>
      <c r="BD943" s="55"/>
    </row>
    <row r="944" spans="13:56" ht="14.25" customHeight="1">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c r="AX944" s="55"/>
      <c r="AY944" s="55"/>
      <c r="AZ944" s="55"/>
      <c r="BA944" s="55"/>
      <c r="BB944" s="55"/>
      <c r="BC944" s="55"/>
      <c r="BD944" s="55"/>
    </row>
    <row r="945" spans="13:56" ht="14.25" customHeight="1">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c r="AX945" s="55"/>
      <c r="AY945" s="55"/>
      <c r="AZ945" s="55"/>
      <c r="BA945" s="55"/>
      <c r="BB945" s="55"/>
      <c r="BC945" s="55"/>
      <c r="BD945" s="55"/>
    </row>
    <row r="946" spans="13:56" ht="14.25" customHeight="1">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c r="AX946" s="55"/>
      <c r="AY946" s="55"/>
      <c r="AZ946" s="55"/>
      <c r="BA946" s="55"/>
      <c r="BB946" s="55"/>
      <c r="BC946" s="55"/>
      <c r="BD946" s="55"/>
    </row>
    <row r="947" spans="13:56" ht="14.25" customHeight="1">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c r="AX947" s="55"/>
      <c r="AY947" s="55"/>
      <c r="AZ947" s="55"/>
      <c r="BA947" s="55"/>
      <c r="BB947" s="55"/>
      <c r="BC947" s="55"/>
      <c r="BD947" s="55"/>
    </row>
    <row r="948" spans="13:56" ht="14.25" customHeight="1">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c r="AX948" s="55"/>
      <c r="AY948" s="55"/>
      <c r="AZ948" s="55"/>
      <c r="BA948" s="55"/>
      <c r="BB948" s="55"/>
      <c r="BC948" s="55"/>
      <c r="BD948" s="55"/>
    </row>
    <row r="949" spans="13:56" ht="14.25" customHeight="1">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c r="AX949" s="55"/>
      <c r="AY949" s="55"/>
      <c r="AZ949" s="55"/>
      <c r="BA949" s="55"/>
      <c r="BB949" s="55"/>
      <c r="BC949" s="55"/>
      <c r="BD949" s="55"/>
    </row>
    <row r="950" spans="13:56" ht="14.25" customHeight="1">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c r="AX950" s="55"/>
      <c r="AY950" s="55"/>
      <c r="AZ950" s="55"/>
      <c r="BA950" s="55"/>
      <c r="BB950" s="55"/>
      <c r="BC950" s="55"/>
      <c r="BD950" s="55"/>
    </row>
    <row r="951" spans="13:56" ht="14.25" customHeight="1">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c r="AX951" s="55"/>
      <c r="AY951" s="55"/>
      <c r="AZ951" s="55"/>
      <c r="BA951" s="55"/>
      <c r="BB951" s="55"/>
      <c r="BC951" s="55"/>
      <c r="BD951" s="55"/>
    </row>
    <row r="952" spans="13:56" ht="14.25" customHeight="1">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c r="AX952" s="55"/>
      <c r="AY952" s="55"/>
      <c r="AZ952" s="55"/>
      <c r="BA952" s="55"/>
      <c r="BB952" s="55"/>
      <c r="BC952" s="55"/>
      <c r="BD952" s="55"/>
    </row>
    <row r="953" spans="13:56" ht="14.25" customHeight="1">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c r="AX953" s="55"/>
      <c r="AY953" s="55"/>
      <c r="AZ953" s="55"/>
      <c r="BA953" s="55"/>
      <c r="BB953" s="55"/>
      <c r="BC953" s="55"/>
      <c r="BD953" s="55"/>
    </row>
    <row r="954" spans="13:56" ht="14.25" customHeight="1">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c r="AX954" s="55"/>
      <c r="AY954" s="55"/>
      <c r="AZ954" s="55"/>
      <c r="BA954" s="55"/>
      <c r="BB954" s="55"/>
      <c r="BC954" s="55"/>
      <c r="BD954" s="55"/>
    </row>
    <row r="955" spans="13:56" ht="14.25" customHeight="1">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c r="AX955" s="55"/>
      <c r="AY955" s="55"/>
      <c r="AZ955" s="55"/>
      <c r="BA955" s="55"/>
      <c r="BB955" s="55"/>
      <c r="BC955" s="55"/>
      <c r="BD955" s="55"/>
    </row>
    <row r="956" spans="13:56" ht="14.25" customHeight="1">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c r="AX956" s="55"/>
      <c r="AY956" s="55"/>
      <c r="AZ956" s="55"/>
      <c r="BA956" s="55"/>
      <c r="BB956" s="55"/>
      <c r="BC956" s="55"/>
      <c r="BD956" s="55"/>
    </row>
    <row r="957" spans="13:56" ht="14.25" customHeight="1">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c r="AX957" s="55"/>
      <c r="AY957" s="55"/>
      <c r="AZ957" s="55"/>
      <c r="BA957" s="55"/>
      <c r="BB957" s="55"/>
      <c r="BC957" s="55"/>
      <c r="BD957" s="55"/>
    </row>
    <row r="958" spans="13:56" ht="14.25" customHeight="1">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c r="AX958" s="55"/>
      <c r="AY958" s="55"/>
      <c r="AZ958" s="55"/>
      <c r="BA958" s="55"/>
      <c r="BB958" s="55"/>
      <c r="BC958" s="55"/>
      <c r="BD958" s="55"/>
    </row>
    <row r="959" spans="13:56" ht="14.25" customHeight="1">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c r="AX959" s="55"/>
      <c r="AY959" s="55"/>
      <c r="AZ959" s="55"/>
      <c r="BA959" s="55"/>
      <c r="BB959" s="55"/>
      <c r="BC959" s="55"/>
      <c r="BD959" s="55"/>
    </row>
    <row r="960" spans="13:56" ht="14.25" customHeight="1">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c r="AX960" s="55"/>
      <c r="AY960" s="55"/>
      <c r="AZ960" s="55"/>
      <c r="BA960" s="55"/>
      <c r="BB960" s="55"/>
      <c r="BC960" s="55"/>
      <c r="BD960" s="55"/>
    </row>
    <row r="961" spans="13:56" ht="14.25" customHeight="1">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c r="AQ961" s="55"/>
      <c r="AR961" s="55"/>
      <c r="AS961" s="55"/>
      <c r="AT961" s="55"/>
      <c r="AU961" s="55"/>
      <c r="AV961" s="55"/>
      <c r="AW961" s="55"/>
      <c r="AX961" s="55"/>
      <c r="AY961" s="55"/>
      <c r="AZ961" s="55"/>
      <c r="BA961" s="55"/>
      <c r="BB961" s="55"/>
      <c r="BC961" s="55"/>
      <c r="BD961" s="55"/>
    </row>
    <row r="962" spans="13:56" ht="14.25" customHeight="1">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c r="AX962" s="55"/>
      <c r="AY962" s="55"/>
      <c r="AZ962" s="55"/>
      <c r="BA962" s="55"/>
      <c r="BB962" s="55"/>
      <c r="BC962" s="55"/>
      <c r="BD962" s="55"/>
    </row>
    <row r="963" spans="13:56" ht="14.25" customHeight="1">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c r="AQ963" s="55"/>
      <c r="AR963" s="55"/>
      <c r="AS963" s="55"/>
      <c r="AT963" s="55"/>
      <c r="AU963" s="55"/>
      <c r="AV963" s="55"/>
      <c r="AW963" s="55"/>
      <c r="AX963" s="55"/>
      <c r="AY963" s="55"/>
      <c r="AZ963" s="55"/>
      <c r="BA963" s="55"/>
      <c r="BB963" s="55"/>
      <c r="BC963" s="55"/>
      <c r="BD963" s="55"/>
    </row>
    <row r="964" spans="13:56" ht="14.25" customHeight="1">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c r="AQ964" s="55"/>
      <c r="AR964" s="55"/>
      <c r="AS964" s="55"/>
      <c r="AT964" s="55"/>
      <c r="AU964" s="55"/>
      <c r="AV964" s="55"/>
      <c r="AW964" s="55"/>
      <c r="AX964" s="55"/>
      <c r="AY964" s="55"/>
      <c r="AZ964" s="55"/>
      <c r="BA964" s="55"/>
      <c r="BB964" s="55"/>
      <c r="BC964" s="55"/>
      <c r="BD964" s="55"/>
    </row>
    <row r="965" spans="13:56" ht="14.25" customHeight="1">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c r="AQ965" s="55"/>
      <c r="AR965" s="55"/>
      <c r="AS965" s="55"/>
      <c r="AT965" s="55"/>
      <c r="AU965" s="55"/>
      <c r="AV965" s="55"/>
      <c r="AW965" s="55"/>
      <c r="AX965" s="55"/>
      <c r="AY965" s="55"/>
      <c r="AZ965" s="55"/>
      <c r="BA965" s="55"/>
      <c r="BB965" s="55"/>
      <c r="BC965" s="55"/>
      <c r="BD965" s="55"/>
    </row>
    <row r="966" spans="13:56" ht="14.25" customHeight="1">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c r="AQ966" s="55"/>
      <c r="AR966" s="55"/>
      <c r="AS966" s="55"/>
      <c r="AT966" s="55"/>
      <c r="AU966" s="55"/>
      <c r="AV966" s="55"/>
      <c r="AW966" s="55"/>
      <c r="AX966" s="55"/>
      <c r="AY966" s="55"/>
      <c r="AZ966" s="55"/>
      <c r="BA966" s="55"/>
      <c r="BB966" s="55"/>
      <c r="BC966" s="55"/>
      <c r="BD966" s="55"/>
    </row>
    <row r="967" spans="13:56" ht="14.25" customHeight="1">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c r="AQ967" s="55"/>
      <c r="AR967" s="55"/>
      <c r="AS967" s="55"/>
      <c r="AT967" s="55"/>
      <c r="AU967" s="55"/>
      <c r="AV967" s="55"/>
      <c r="AW967" s="55"/>
      <c r="AX967" s="55"/>
      <c r="AY967" s="55"/>
      <c r="AZ967" s="55"/>
      <c r="BA967" s="55"/>
      <c r="BB967" s="55"/>
      <c r="BC967" s="55"/>
      <c r="BD967" s="55"/>
    </row>
    <row r="968" spans="13:56" ht="14.25" customHeight="1">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c r="AQ968" s="55"/>
      <c r="AR968" s="55"/>
      <c r="AS968" s="55"/>
      <c r="AT968" s="55"/>
      <c r="AU968" s="55"/>
      <c r="AV968" s="55"/>
      <c r="AW968" s="55"/>
      <c r="AX968" s="55"/>
      <c r="AY968" s="55"/>
      <c r="AZ968" s="55"/>
      <c r="BA968" s="55"/>
      <c r="BB968" s="55"/>
      <c r="BC968" s="55"/>
      <c r="BD968" s="55"/>
    </row>
    <row r="969" spans="13:56" ht="14.25" customHeight="1">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c r="AQ969" s="55"/>
      <c r="AR969" s="55"/>
      <c r="AS969" s="55"/>
      <c r="AT969" s="55"/>
      <c r="AU969" s="55"/>
      <c r="AV969" s="55"/>
      <c r="AW969" s="55"/>
      <c r="AX969" s="55"/>
      <c r="AY969" s="55"/>
      <c r="AZ969" s="55"/>
      <c r="BA969" s="55"/>
      <c r="BB969" s="55"/>
      <c r="BC969" s="55"/>
      <c r="BD969" s="55"/>
    </row>
    <row r="970" spans="13:56" ht="14.25" customHeight="1">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c r="AQ970" s="55"/>
      <c r="AR970" s="55"/>
      <c r="AS970" s="55"/>
      <c r="AT970" s="55"/>
      <c r="AU970" s="55"/>
      <c r="AV970" s="55"/>
      <c r="AW970" s="55"/>
      <c r="AX970" s="55"/>
      <c r="AY970" s="55"/>
      <c r="AZ970" s="55"/>
      <c r="BA970" s="55"/>
      <c r="BB970" s="55"/>
      <c r="BC970" s="55"/>
      <c r="BD970" s="55"/>
    </row>
    <row r="971" spans="13:56" ht="14.25" customHeight="1">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c r="AQ971" s="55"/>
      <c r="AR971" s="55"/>
      <c r="AS971" s="55"/>
      <c r="AT971" s="55"/>
      <c r="AU971" s="55"/>
      <c r="AV971" s="55"/>
      <c r="AW971" s="55"/>
      <c r="AX971" s="55"/>
      <c r="AY971" s="55"/>
      <c r="AZ971" s="55"/>
      <c r="BA971" s="55"/>
      <c r="BB971" s="55"/>
      <c r="BC971" s="55"/>
      <c r="BD971" s="55"/>
    </row>
    <row r="972" spans="13:56" ht="14.25" customHeight="1">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c r="AQ972" s="55"/>
      <c r="AR972" s="55"/>
      <c r="AS972" s="55"/>
      <c r="AT972" s="55"/>
      <c r="AU972" s="55"/>
      <c r="AV972" s="55"/>
      <c r="AW972" s="55"/>
      <c r="AX972" s="55"/>
      <c r="AY972" s="55"/>
      <c r="AZ972" s="55"/>
      <c r="BA972" s="55"/>
      <c r="BB972" s="55"/>
      <c r="BC972" s="55"/>
      <c r="BD972" s="55"/>
    </row>
    <row r="973" spans="13:56" ht="14.25" customHeight="1">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c r="AQ973" s="55"/>
      <c r="AR973" s="55"/>
      <c r="AS973" s="55"/>
      <c r="AT973" s="55"/>
      <c r="AU973" s="55"/>
      <c r="AV973" s="55"/>
      <c r="AW973" s="55"/>
      <c r="AX973" s="55"/>
      <c r="AY973" s="55"/>
      <c r="AZ973" s="55"/>
      <c r="BA973" s="55"/>
      <c r="BB973" s="55"/>
      <c r="BC973" s="55"/>
      <c r="BD973" s="55"/>
    </row>
    <row r="974" spans="13:56" ht="14.25" customHeight="1">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c r="AQ974" s="55"/>
      <c r="AR974" s="55"/>
      <c r="AS974" s="55"/>
      <c r="AT974" s="55"/>
      <c r="AU974" s="55"/>
      <c r="AV974" s="55"/>
      <c r="AW974" s="55"/>
      <c r="AX974" s="55"/>
      <c r="AY974" s="55"/>
      <c r="AZ974" s="55"/>
      <c r="BA974" s="55"/>
      <c r="BB974" s="55"/>
      <c r="BC974" s="55"/>
      <c r="BD974" s="55"/>
    </row>
    <row r="975" spans="13:56" ht="14.25" customHeight="1">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c r="AQ975" s="55"/>
      <c r="AR975" s="55"/>
      <c r="AS975" s="55"/>
      <c r="AT975" s="55"/>
      <c r="AU975" s="55"/>
      <c r="AV975" s="55"/>
      <c r="AW975" s="55"/>
      <c r="AX975" s="55"/>
      <c r="AY975" s="55"/>
      <c r="AZ975" s="55"/>
      <c r="BA975" s="55"/>
      <c r="BB975" s="55"/>
      <c r="BC975" s="55"/>
      <c r="BD975" s="55"/>
    </row>
    <row r="976" spans="13:56" ht="14.25" customHeight="1">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c r="AQ976" s="55"/>
      <c r="AR976" s="55"/>
      <c r="AS976" s="55"/>
      <c r="AT976" s="55"/>
      <c r="AU976" s="55"/>
      <c r="AV976" s="55"/>
      <c r="AW976" s="55"/>
      <c r="AX976" s="55"/>
      <c r="AY976" s="55"/>
      <c r="AZ976" s="55"/>
      <c r="BA976" s="55"/>
      <c r="BB976" s="55"/>
      <c r="BC976" s="55"/>
      <c r="BD976" s="55"/>
    </row>
    <row r="977" spans="13:56" ht="14.25" customHeight="1">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c r="AQ977" s="55"/>
      <c r="AR977" s="55"/>
      <c r="AS977" s="55"/>
      <c r="AT977" s="55"/>
      <c r="AU977" s="55"/>
      <c r="AV977" s="55"/>
      <c r="AW977" s="55"/>
      <c r="AX977" s="55"/>
      <c r="AY977" s="55"/>
      <c r="AZ977" s="55"/>
      <c r="BA977" s="55"/>
      <c r="BB977" s="55"/>
      <c r="BC977" s="55"/>
      <c r="BD977" s="55"/>
    </row>
    <row r="978" spans="13:56" ht="14.25" customHeight="1">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c r="AQ978" s="55"/>
      <c r="AR978" s="55"/>
      <c r="AS978" s="55"/>
      <c r="AT978" s="55"/>
      <c r="AU978" s="55"/>
      <c r="AV978" s="55"/>
      <c r="AW978" s="55"/>
      <c r="AX978" s="55"/>
      <c r="AY978" s="55"/>
      <c r="AZ978" s="55"/>
      <c r="BA978" s="55"/>
      <c r="BB978" s="55"/>
      <c r="BC978" s="55"/>
      <c r="BD978" s="55"/>
    </row>
    <row r="979" spans="13:56" ht="14.25" customHeight="1">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c r="AQ979" s="55"/>
      <c r="AR979" s="55"/>
      <c r="AS979" s="55"/>
      <c r="AT979" s="55"/>
      <c r="AU979" s="55"/>
      <c r="AV979" s="55"/>
      <c r="AW979" s="55"/>
      <c r="AX979" s="55"/>
      <c r="AY979" s="55"/>
      <c r="AZ979" s="55"/>
      <c r="BA979" s="55"/>
      <c r="BB979" s="55"/>
      <c r="BC979" s="55"/>
      <c r="BD979" s="55"/>
    </row>
    <row r="980" spans="13:56" ht="14.25" customHeight="1">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c r="AQ980" s="55"/>
      <c r="AR980" s="55"/>
      <c r="AS980" s="55"/>
      <c r="AT980" s="55"/>
      <c r="AU980" s="55"/>
      <c r="AV980" s="55"/>
      <c r="AW980" s="55"/>
      <c r="AX980" s="55"/>
      <c r="AY980" s="55"/>
      <c r="AZ980" s="55"/>
      <c r="BA980" s="55"/>
      <c r="BB980" s="55"/>
      <c r="BC980" s="55"/>
      <c r="BD980" s="55"/>
    </row>
    <row r="981" spans="13:56" ht="14.25" customHeight="1">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c r="AQ981" s="55"/>
      <c r="AR981" s="55"/>
      <c r="AS981" s="55"/>
      <c r="AT981" s="55"/>
      <c r="AU981" s="55"/>
      <c r="AV981" s="55"/>
      <c r="AW981" s="55"/>
      <c r="AX981" s="55"/>
      <c r="AY981" s="55"/>
      <c r="AZ981" s="55"/>
      <c r="BA981" s="55"/>
      <c r="BB981" s="55"/>
      <c r="BC981" s="55"/>
      <c r="BD981" s="55"/>
    </row>
    <row r="982" spans="13:56" ht="14.25" customHeight="1">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c r="AQ982" s="55"/>
      <c r="AR982" s="55"/>
      <c r="AS982" s="55"/>
      <c r="AT982" s="55"/>
      <c r="AU982" s="55"/>
      <c r="AV982" s="55"/>
      <c r="AW982" s="55"/>
      <c r="AX982" s="55"/>
      <c r="AY982" s="55"/>
      <c r="AZ982" s="55"/>
      <c r="BA982" s="55"/>
      <c r="BB982" s="55"/>
      <c r="BC982" s="55"/>
      <c r="BD982" s="55"/>
    </row>
    <row r="983" spans="13:56" ht="14.25" customHeight="1">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c r="AQ983" s="55"/>
      <c r="AR983" s="55"/>
      <c r="AS983" s="55"/>
      <c r="AT983" s="55"/>
      <c r="AU983" s="55"/>
      <c r="AV983" s="55"/>
      <c r="AW983" s="55"/>
      <c r="AX983" s="55"/>
      <c r="AY983" s="55"/>
      <c r="AZ983" s="55"/>
      <c r="BA983" s="55"/>
      <c r="BB983" s="55"/>
      <c r="BC983" s="55"/>
      <c r="BD983" s="55"/>
    </row>
    <row r="984" spans="13:56" ht="14.25" customHeight="1">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c r="AQ984" s="55"/>
      <c r="AR984" s="55"/>
      <c r="AS984" s="55"/>
      <c r="AT984" s="55"/>
      <c r="AU984" s="55"/>
      <c r="AV984" s="55"/>
      <c r="AW984" s="55"/>
      <c r="AX984" s="55"/>
      <c r="AY984" s="55"/>
      <c r="AZ984" s="55"/>
      <c r="BA984" s="55"/>
      <c r="BB984" s="55"/>
      <c r="BC984" s="55"/>
      <c r="BD984" s="55"/>
    </row>
    <row r="985" spans="13:56" ht="15" customHeight="1">
      <c r="M985" s="55"/>
    </row>
    <row r="986" spans="13:56" ht="15" customHeight="1">
      <c r="M986" s="55"/>
    </row>
  </sheetData>
  <sheetProtection sheet="1" insertRows="0" selectLockedCells="1"/>
  <mergeCells count="13">
    <mergeCell ref="A1:L1"/>
    <mergeCell ref="A2:L2"/>
    <mergeCell ref="A22:L22"/>
    <mergeCell ref="G63:G72"/>
    <mergeCell ref="C67:E68"/>
    <mergeCell ref="A43:C43"/>
    <mergeCell ref="A35:L35"/>
    <mergeCell ref="A53:G53"/>
    <mergeCell ref="G55:G58"/>
    <mergeCell ref="E43:G43"/>
    <mergeCell ref="G45:G51"/>
    <mergeCell ref="A61:G61"/>
    <mergeCell ref="A60:B60"/>
  </mergeCells>
  <conditionalFormatting sqref="D63:D66">
    <cfRule type="expression" dxfId="1" priority="17">
      <formula>$C$60="Yes"</formula>
    </cfRule>
  </conditionalFormatting>
  <dataValidations count="17">
    <dataValidation type="list" allowBlank="1" showErrorMessage="1" sqref="B45:B51" xr:uid="{B461E4C5-EF03-4981-A4EE-88FBD930A085}">
      <formula1>"Block Storage, Object Storage, Network File System (NFS),Server Message Block (SMB)"</formula1>
    </dataValidation>
    <dataValidation type="list" errorStyle="information" allowBlank="1" showErrorMessage="1" errorTitle="Mandatory " error="It is mandatory to select the Environment section before entering other details." sqref="A45:A51 E45:E51 B37:B41 A24:A33 A6:A20" xr:uid="{514D32C3-FF59-4161-B848-1D26BDDE0041}">
      <formula1>"Prod Env.,Dev Env.,Quality Env.,Testing Env.,Staging Env.,UAT Env.,DR Env."</formula1>
    </dataValidation>
    <dataValidation type="list" allowBlank="1" showErrorMessage="1" sqref="A37:A41" xr:uid="{4E9D513C-DAD0-439A-B9B0-D76602B8735A}">
      <formula1>"Cluster 1,Cluster 2,Cluster 3,Cluster 4,Cluster 5,Cluster 6,Cluster 7,Cluster 8,Cluster 9,Cluster 10,Cluster 11,Cluster 12,Cluster 13,Cluster 14,Other"</formula1>
    </dataValidation>
    <dataValidation type="list" allowBlank="1" showErrorMessage="1" sqref="C37:C41" xr:uid="{3BA0CFB8-75CC-4BD4-AFC0-5DA17F221DFC}">
      <formula1>IF(B37="Prod Env.",Prod,IF(B37="Dev Env.",Nonprd, IF(B37="Quality Env.",Nonprd, IF(B37="Testing Env.",Nonprd, IF(B37="Staging Env.",Nonprd, IF(B37="UAT Env.",Nonprd, IF(B37="DR Env.",Nonprd, "")))))))</formula1>
    </dataValidation>
    <dataValidation type="list" allowBlank="1" showInputMessage="1" showErrorMessage="1" sqref="E4" xr:uid="{BC45ED82-D4AA-424C-B9DA-283DC1DB0102}">
      <formula1>"Ubuntu"</formula1>
    </dataValidation>
    <dataValidation type="list" allowBlank="1" showInputMessage="1" showErrorMessage="1" promptTitle="Select Current Operating System" sqref="E5:E20" xr:uid="{33418FD0-5633-454A-811E-05B6ED3615EB}">
      <formula1>"Ubuntu,Windows,RHEL"</formula1>
    </dataValidation>
    <dataValidation type="list" allowBlank="1" showErrorMessage="1" sqref="B6:B20" xr:uid="{C7375B07-AA73-4831-A15A-A69C8FCCB462}">
      <formula1>"Web + App, Web, App, DB (IaaS), Others"</formula1>
    </dataValidation>
    <dataValidation type="custom" allowBlank="1" showInputMessage="1" showErrorMessage="1" errorTitle="Error" error="Only 100 Multiplier " promptTitle="Only 100 Multiplier " sqref="J6:J21" xr:uid="{B46B2B5E-B84C-405D-8DDC-003CB9EABB10}">
      <formula1>MOD(J6,100)=0</formula1>
    </dataValidation>
    <dataValidation type="list" allowBlank="1" showErrorMessage="1" sqref="F45:F51" xr:uid="{9889656A-F6B9-4178-8180-0E566774C1E2}">
      <formula1>"Daily,Weekly,Monthly,Annual"</formula1>
    </dataValidation>
    <dataValidation type="list" allowBlank="1" showInputMessage="1" showErrorMessage="1" sqref="C63 E63" xr:uid="{8756D0BE-A2FA-43B9-B007-C36EDB0A695A}">
      <formula1>"Select, 50 Mbps, 100 Mbps, 200 Mbps, 300 Mbps, 400 Mpbs, 500 Mbps, 600 Mbps, 700 Mbps, 800 Mbps, 900 Mbps, 1 Gbps, 2 Gbps, 3 Gpbs, 4 Gbps, 5 Gbps, Above 5 Gbps"</formula1>
    </dataValidation>
    <dataValidation type="custom" allowBlank="1" showInputMessage="1" showErrorMessage="1" errorTitle="Error" error="Only 100 Multiplier " promptTitle="Additional Storage Per VM" prompt="Only 100 Multiplier " sqref="J5" xr:uid="{2B043D83-9450-4D7A-806A-914338EF87F3}">
      <formula1>MOD(J5,100)=0</formula1>
    </dataValidation>
    <dataValidation type="list" allowBlank="1" showInputMessage="1" showErrorMessage="1" sqref="C69:E69" xr:uid="{7FA535D8-80F4-4A10-AEC0-A25746A6368F}">
      <formula1>"Select, Not Required, Single Domain SSL Certificate, WildCard SSL Certificate, Multi-Domain SSL Certificate, Multi-Domain Wildcard SSL Certificate, Others"</formula1>
    </dataValidation>
    <dataValidation type="list" allowBlank="1" showInputMessage="1" showErrorMessage="1" sqref="C60" xr:uid="{15729132-473C-4383-AE86-06BBD0C38E42}">
      <formula1>"Yes,No"</formula1>
    </dataValidation>
    <dataValidation type="list" allowBlank="1" showErrorMessage="1" sqref="B24:B33" xr:uid="{F0040486-CBBE-4B30-B8FB-573B810FA5E3}">
      <formula1>"PostGreSQL, MS-SQL, MYSQL, MongoDB, Redis"</formula1>
    </dataValidation>
    <dataValidation type="custom" allowBlank="1" showInputMessage="1" showErrorMessage="1" sqref="H24:H33" xr:uid="{A5CEEB3A-B754-43F8-B632-7F621D6486BC}">
      <formula1>RAM_Lookup</formula1>
    </dataValidation>
    <dataValidation type="list" errorStyle="information" allowBlank="1" showErrorMessage="1" errorTitle="Mandatory " error="It is mandatory to select the Environment section from dropdown before entering other details." sqref="A5" xr:uid="{C1FAEC66-16A6-4AE0-9CA5-69F52AEC214E}">
      <formula1>"Prod Env.,Dev Env.,Quality Env.,Testing Env.,Staging Env.,UAT Env.,DR Env."</formula1>
    </dataValidation>
    <dataValidation type="list" allowBlank="1" showErrorMessage="1" error="Select the layer section from dropdown before entering other details." sqref="B5" xr:uid="{BE946137-9745-4EE9-A4F6-FC31DE76FA9A}">
      <formula1>"Web + App, Web, App, DB (IaaS), Others"</formula1>
    </dataValidation>
  </dataValidations>
  <pageMargins left="0.7" right="0.7" top="0.75" bottom="0.75" header="0" footer="0"/>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6" id="{00000000-000E-0000-0300-000001000000}">
            <xm:f>AND(TRIM($F5)=TRIM(Drived!$T$3),$M5="")</xm:f>
            <x14:dxf>
              <fill>
                <patternFill>
                  <bgColor theme="5" tint="0.59996337778862885"/>
                </patternFill>
              </fill>
            </x14:dxf>
          </x14:cfRule>
          <xm:sqref>M5:M20</xm:sqref>
        </x14:conditionalFormatting>
      </x14:conditionalFormattings>
    </ext>
    <ext xmlns:x14="http://schemas.microsoft.com/office/spreadsheetml/2009/9/main" uri="{CCE6A557-97BC-4b89-ADB6-D9C93CAAB3DF}">
      <x14:dataValidations xmlns:xm="http://schemas.microsoft.com/office/excel/2006/main" count="19">
        <x14:dataValidation type="list" allowBlank="1" showInputMessage="1" showErrorMessage="1" xr:uid="{A4BB2347-013B-45C3-8161-5E673799573F}">
          <x14:formula1>
            <xm:f>IF(E5="Ubuntu",Drived!$W$1,IF(E5="Windows",Drived!$W$2,IF(E5="RHEL",Drived!$W$1)))</xm:f>
          </x14:formula1>
          <xm:sqref>I5:I20</xm:sqref>
        </x14:dataValidation>
        <x14:dataValidation type="list" allowBlank="1" showInputMessage="1" showErrorMessage="1" xr:uid="{8DC8FFD1-317D-4BEB-853A-940F95E54D87}">
          <x14:formula1>
            <xm:f>Drived!$AN$1:$AN$2</xm:f>
          </x14:formula1>
          <xm:sqref>D64</xm:sqref>
        </x14:dataValidation>
        <x14:dataValidation type="list" allowBlank="1" showErrorMessage="1" xr:uid="{1E002270-D055-4402-9262-5B7173E34818}">
          <x14:formula1>
            <xm:f>IF(B25="PostGreSQL",Drived!$AA$1,IF(B25="MS-SQL",Drived!$AB$1,IF(B25="MYSQL",Drived!$AA$1,IF(B25="MongoDB",Drived!$AG$1,IF(B25="Redis",Drived!$AG$1,IF(B25="Hadoop",#REF!,IF(B25="Casandra",Drived!$AF$1, "")))))))</xm:f>
          </x14:formula1>
          <xm:sqref>D30 D25</xm:sqref>
        </x14:dataValidation>
        <x14:dataValidation type="list" allowBlank="1" showInputMessage="1" showErrorMessage="1" xr:uid="{F5527386-DF7B-41ED-8B22-96809670F84E}">
          <x14:formula1>
            <xm:f>Drived!$AH$1:$AH$6</xm:f>
          </x14:formula1>
          <xm:sqref>G24:G33</xm:sqref>
        </x14:dataValidation>
        <x14:dataValidation type="list" allowBlank="1" showInputMessage="1" showErrorMessage="1" xr:uid="{ADCDACE0-0F78-4300-8289-ABF2F781E05E}">
          <x14:formula1>
            <xm:f>IF(E5="Ubuntu",Drived!$T$1:$T$3,IF(E5="Windows",Drived!$U$1:$U$3,IF(E5="RHEL",Drived!$V$1:$V$3)))</xm:f>
          </x14:formula1>
          <xm:sqref>F5:F20</xm:sqref>
        </x14:dataValidation>
        <x14:dataValidation type="list" allowBlank="1" showInputMessage="1" showErrorMessage="1" xr:uid="{7812873A-7150-46DD-A41A-913882DB6672}">
          <x14:formula1>
            <xm:f>IF(G5=2,Drived!$AL$1:$AL$3, IF(G5=4,Drived!$AL$4:$AL$6, IF(G5=8,Drived!$AL$7:$AL$9, IF(G5=12,Drived!$AL$10:$AL$12, IF(G5=16,Drived!$AL$13:$AL$15, IF(G5=24,Drived!$AL$16:$AL$18, IF(G5=32,Drived!$AL$19:$AL$21, IF(G5=60,Drived!$AL$22:$AL$22, IF(G5=64,Drived!$AL$23:$AL$24, "")))))))))</xm:f>
          </x14:formula1>
          <xm:sqref>H5:H20</xm:sqref>
        </x14:dataValidation>
        <x14:dataValidation type="list" allowBlank="1" showInputMessage="1" showErrorMessage="1" xr:uid="{58D304A8-3B98-4488-BDF9-002EE88032F4}">
          <x14:formula1>
            <xm:f>Drived!$AK$1:$AK$9</xm:f>
          </x14:formula1>
          <xm:sqref>G5:G20</xm:sqref>
        </x14:dataValidation>
        <x14:dataValidation type="list" allowBlank="1" showInputMessage="1" showErrorMessage="1" xr:uid="{3C4BC48D-8410-4AE4-9224-4EFAB124656B}">
          <x14:formula1>
            <xm:f>Drived!$AO$1:$AO$2</xm:f>
          </x14:formula1>
          <xm:sqref>E64</xm:sqref>
        </x14:dataValidation>
        <x14:dataValidation type="list" allowBlank="1" showInputMessage="1" showErrorMessage="1" xr:uid="{0B19483B-0EC1-47F2-8CE5-CE995E75B9FC}">
          <x14:formula1>
            <xm:f>Drived!$X$1:$X$2</xm:f>
          </x14:formula1>
          <xm:sqref>C64</xm:sqref>
        </x14:dataValidation>
        <x14:dataValidation type="list" allowBlank="1" showInputMessage="1" showErrorMessage="1" xr:uid="{115DA57D-0BB7-4438-AB0E-8767169C61D5}">
          <x14:formula1>
            <xm:f>IF($C$64="Not Required",Drived!$X$2,Drived!$X$1:$X$2)</xm:f>
          </x14:formula1>
          <xm:sqref>C65:C66</xm:sqref>
        </x14:dataValidation>
        <x14:dataValidation type="list" allowBlank="1" showInputMessage="1" showErrorMessage="1" xr:uid="{AC76300A-4D07-4DB7-AB78-4B05F5B12A1C}">
          <x14:formula1>
            <xm:f>IF($D$64="Not Required",Drived!$AN$2,Drived!$AN$1:$AN$2)</xm:f>
          </x14:formula1>
          <xm:sqref>D65:D66</xm:sqref>
        </x14:dataValidation>
        <x14:dataValidation type="list" allowBlank="1" showInputMessage="1" showErrorMessage="1" xr:uid="{17034243-0DDF-499B-A151-2DAC94DFF430}">
          <x14:formula1>
            <xm:f>IF($E$64="Not Required",Drived!$AO$2,Drived!$AO$1:$AO$2)</xm:f>
          </x14:formula1>
          <xm:sqref>E65:E66</xm:sqref>
        </x14:dataValidation>
        <x14:dataValidation type="custom" allowBlank="1" showInputMessage="1" showErrorMessage="1" errorTitle="Allowed only" error="Allowed only (in GBs)_x000a_200, 500, 1000, 3000, 5000, 7000" xr:uid="{C3C5789D-7B02-4F4A-AEC6-C97092833EDA}">
          <x14:formula1>
            <xm:f>ISNUMBER(MATCH(J29,Drived!$AM$1:$AM$6,0))</xm:f>
          </x14:formula1>
          <xm:sqref>J29</xm:sqref>
        </x14:dataValidation>
        <x14:dataValidation type="list" allowBlank="1" showInputMessage="1" showErrorMessage="1" xr:uid="{865751E6-97DB-4642-B0BD-721C536807D0}">
          <x14:formula1>
            <xm:f>IF(B24="PostGreSQL",Drived!$AA$1:$AA$1, IF(B24="MS-SQL",Drived!$AB$1:$AB$1, IF(B24="MYSQL",Drived!$AA$1:$AA$1, IF(B24="MongoDB",Drived!$AD$1:$AD$1, IF(B24="Redis",Drived!$AG$1:$AG$2,Drived!$AD$1:$AD$1)))))</xm:f>
          </x14:formula1>
          <xm:sqref>C24:C33</xm:sqref>
        </x14:dataValidation>
        <x14:dataValidation type="list" allowBlank="1" showInputMessage="1" showErrorMessage="1" xr:uid="{4AAA3EE8-7A36-4CA0-8E84-400C5D142556}">
          <x14:formula1>
            <xm:f>IF(B24="PostGreSQL",Drived!$Y$1, IF(B24="MS-SQL",Drived!$Y$2, IF(B24="MYSQL",Drived!$Y$3, IF(OR(B24="Redis",B24="MongoDB"),Drived!$Y$4,""))))</xm:f>
          </x14:formula1>
          <xm:sqref>E24:E33</xm:sqref>
        </x14:dataValidation>
        <x14:dataValidation type="custom" allowBlank="1" showInputMessage="1" showErrorMessage="1" errorTitle="Allowed only" error="200, 500, 1000, 3000, 5000, 7000" xr:uid="{0A5D6D3B-7123-4EB9-8684-55333DC4942B}">
          <x14:formula1>
            <xm:f>ISNUMBER(MATCH(J25,Drived!$AM$1:$AM$6,0))</xm:f>
          </x14:formula1>
          <xm:sqref>J30:J33 J25:J28</xm:sqref>
        </x14:dataValidation>
        <x14:dataValidation type="custom" allowBlank="1" showInputMessage="1" showErrorMessage="1" errorTitle="Mandatory" error="This field is mandatory" xr:uid="{DE9512C9-69B4-431F-9C8A-28201D4AD229}">
          <x14:formula1>
            <xm:f>OR(COUNTIF(Drived!$T$3:$V$3,$F5)=0,LEN(TRIM($M5))&gt;0)</xm:f>
          </x14:formula1>
          <xm:sqref>M5:M20</xm:sqref>
        </x14:dataValidation>
        <x14:dataValidation type="list" allowBlank="1" showInputMessage="1" showErrorMessage="1" errorTitle="Not Allowed" error="This field is disabled. Please Select No in B54 to edit" xr:uid="{C8D07B6F-69FE-46DA-8940-3A282D755C6D}">
          <x14:formula1>
            <xm:f>INDIRECT(Drived!AQ4)</xm:f>
          </x14:formula1>
          <xm:sqref>D63</xm:sqref>
        </x14:dataValidation>
        <x14:dataValidation type="custom" allowBlank="1" showInputMessage="1" showErrorMessage="1" errorTitle="Allowed only" error="Allowed only (in GBs)_x000a_100, 200, 500, 1000, 2000" xr:uid="{6B3F1EA5-3B5A-445E-B7DA-554D8317327D}">
          <x14:formula1>
            <xm:f>ISNUMBER(MATCH(J24,Drived!$AM$1:$AM$6,0))</xm:f>
          </x14:formula1>
          <xm:sqref>J24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46A0-E3D9-49B0-A334-7F3330AAB8C6}">
  <sheetPr codeName="Sheet5"/>
  <dimension ref="T1:AS24"/>
  <sheetViews>
    <sheetView topLeftCell="R1" workbookViewId="0">
      <selection activeCell="AO12" sqref="AO12"/>
    </sheetView>
  </sheetViews>
  <sheetFormatPr defaultRowHeight="15"/>
  <sheetData>
    <row r="1" spans="20:45">
      <c r="T1" s="80" t="s">
        <v>172</v>
      </c>
      <c r="U1" s="80" t="s">
        <v>173</v>
      </c>
      <c r="V1" s="80" t="s">
        <v>175</v>
      </c>
      <c r="W1" s="80">
        <v>100</v>
      </c>
      <c r="X1" t="str">
        <f>'Infra Requirements'!C63</f>
        <v>Select</v>
      </c>
      <c r="Y1" t="s">
        <v>194</v>
      </c>
      <c r="Z1" s="94" t="s">
        <v>122</v>
      </c>
      <c r="AA1" t="s">
        <v>182</v>
      </c>
      <c r="AB1" t="s">
        <v>115</v>
      </c>
      <c r="AC1" t="s">
        <v>115</v>
      </c>
      <c r="AD1" t="s">
        <v>192</v>
      </c>
      <c r="AE1" t="s">
        <v>115</v>
      </c>
      <c r="AF1" t="s">
        <v>115</v>
      </c>
      <c r="AG1" t="s">
        <v>193</v>
      </c>
      <c r="AH1" s="80">
        <v>4</v>
      </c>
      <c r="AI1" s="80">
        <f t="shared" ref="AI1:AI6" si="0">AH1*8</f>
        <v>32</v>
      </c>
      <c r="AJ1" s="80"/>
      <c r="AK1" s="100">
        <v>2</v>
      </c>
      <c r="AL1" s="100">
        <v>4</v>
      </c>
      <c r="AM1" s="80">
        <v>100</v>
      </c>
      <c r="AN1" t="str">
        <f>'Infra Requirements'!D63</f>
        <v>Select</v>
      </c>
      <c r="AO1" t="str">
        <f>'Infra Requirements'!E63</f>
        <v>Select</v>
      </c>
      <c r="AP1">
        <f>'Infra Requirements'!F63</f>
        <v>0</v>
      </c>
      <c r="AQ1" s="80" t="str">
        <f>IF('Infra Requirements'!B29="Redis","vCPU_Redis",IF('Infra Requirements'!B29="MongoDB","vCPU_MongoDB","vCPU_Standard"))</f>
        <v>vCPU_Standard</v>
      </c>
      <c r="AR1" s="80">
        <v>4</v>
      </c>
      <c r="AS1" s="80">
        <v>64</v>
      </c>
    </row>
    <row r="2" spans="20:45">
      <c r="T2" s="80" t="s">
        <v>177</v>
      </c>
      <c r="U2" s="80" t="s">
        <v>174</v>
      </c>
      <c r="V2" s="80" t="s">
        <v>176</v>
      </c>
      <c r="W2" s="80">
        <v>200</v>
      </c>
      <c r="X2" s="80" t="s">
        <v>184</v>
      </c>
      <c r="Y2" t="s">
        <v>196</v>
      </c>
      <c r="Z2" s="94" t="s">
        <v>179</v>
      </c>
      <c r="AG2" t="s">
        <v>192</v>
      </c>
      <c r="AH2" s="80">
        <v>8</v>
      </c>
      <c r="AI2" s="80">
        <f t="shared" si="0"/>
        <v>64</v>
      </c>
      <c r="AJ2" s="80"/>
      <c r="AK2" s="100">
        <v>4</v>
      </c>
      <c r="AL2" s="100">
        <v>8</v>
      </c>
      <c r="AM2" s="80">
        <v>200</v>
      </c>
      <c r="AN2" s="80" t="s">
        <v>184</v>
      </c>
      <c r="AO2" s="80" t="s">
        <v>184</v>
      </c>
      <c r="AP2" s="80" t="s">
        <v>184</v>
      </c>
      <c r="AQ2" s="80" t="str">
        <f>IF('Infra Requirements'!B33="Redis","vCPU_Redis",IF('Infra Requirements'!B33="MongoDB","vCPU_MongoDB","vCPU_Standard"))</f>
        <v>vCPU_Standard</v>
      </c>
      <c r="AR2" s="80">
        <v>8</v>
      </c>
      <c r="AS2" s="80">
        <v>128</v>
      </c>
    </row>
    <row r="3" spans="20:45">
      <c r="T3" s="80" t="s">
        <v>185</v>
      </c>
      <c r="U3" s="80" t="str">
        <f>$T$3</f>
        <v>Others, Put in Remarks</v>
      </c>
      <c r="V3" s="80" t="s">
        <v>185</v>
      </c>
      <c r="W3" s="80"/>
      <c r="X3" s="80"/>
      <c r="Y3" t="s">
        <v>195</v>
      </c>
      <c r="Z3" s="94" t="s">
        <v>180</v>
      </c>
      <c r="AH3" s="80">
        <v>16</v>
      </c>
      <c r="AI3" s="80">
        <f t="shared" si="0"/>
        <v>128</v>
      </c>
      <c r="AJ3" s="80"/>
      <c r="AK3" s="100">
        <v>8</v>
      </c>
      <c r="AL3" s="100">
        <v>16</v>
      </c>
      <c r="AM3" s="80">
        <v>500</v>
      </c>
      <c r="AN3" s="80"/>
      <c r="AO3" s="80"/>
      <c r="AP3" s="80"/>
      <c r="AQ3" s="80"/>
      <c r="AR3" s="80">
        <v>16</v>
      </c>
      <c r="AS3" s="80">
        <v>256</v>
      </c>
    </row>
    <row r="4" spans="20:45">
      <c r="T4" s="80"/>
      <c r="U4" s="80"/>
      <c r="V4" s="80"/>
      <c r="W4" s="80"/>
      <c r="X4" s="80"/>
      <c r="Y4" s="80" t="s">
        <v>197</v>
      </c>
      <c r="Z4" s="94" t="s">
        <v>181</v>
      </c>
      <c r="AH4" s="80">
        <v>24</v>
      </c>
      <c r="AI4" s="80">
        <f t="shared" si="0"/>
        <v>192</v>
      </c>
      <c r="AJ4" s="80"/>
      <c r="AK4" s="100">
        <v>12</v>
      </c>
      <c r="AL4" s="100">
        <v>8</v>
      </c>
      <c r="AM4" s="80">
        <v>1000</v>
      </c>
      <c r="AN4" s="80"/>
      <c r="AO4" s="80"/>
      <c r="AP4" s="80"/>
      <c r="AQ4" s="80" t="str">
        <f>IF('Infra Requirements'!$C$60="No","Bandwidth_List","Blank_List")</f>
        <v>Blank_List</v>
      </c>
      <c r="AR4" s="80" t="s">
        <v>203</v>
      </c>
      <c r="AS4" s="80"/>
    </row>
    <row r="5" spans="20:45">
      <c r="T5" s="80"/>
      <c r="U5" s="80"/>
      <c r="V5" s="80"/>
      <c r="W5" s="80"/>
      <c r="X5" s="80"/>
      <c r="Y5" s="80"/>
      <c r="Z5" s="94" t="s">
        <v>178</v>
      </c>
      <c r="AH5" s="80">
        <v>32</v>
      </c>
      <c r="AI5" s="80">
        <f t="shared" si="0"/>
        <v>256</v>
      </c>
      <c r="AJ5" s="80"/>
      <c r="AK5" s="100">
        <v>16</v>
      </c>
      <c r="AL5" s="100">
        <v>16</v>
      </c>
      <c r="AM5" s="80">
        <v>2000</v>
      </c>
      <c r="AN5" s="80"/>
      <c r="AO5" s="80"/>
      <c r="AP5" s="80"/>
      <c r="AR5" s="80" t="s">
        <v>204</v>
      </c>
      <c r="AS5" s="80"/>
    </row>
    <row r="6" spans="20:45">
      <c r="T6" s="80"/>
      <c r="U6" s="80"/>
      <c r="V6" s="80"/>
      <c r="W6" s="80"/>
      <c r="X6" s="80"/>
      <c r="Y6" s="80"/>
      <c r="Z6" s="94"/>
      <c r="AH6" s="80">
        <v>60</v>
      </c>
      <c r="AI6" s="80">
        <f t="shared" si="0"/>
        <v>480</v>
      </c>
      <c r="AJ6" s="80"/>
      <c r="AK6" s="100">
        <v>24</v>
      </c>
      <c r="AL6" s="100">
        <v>32</v>
      </c>
      <c r="AM6" s="80"/>
      <c r="AN6" s="80"/>
      <c r="AO6" s="80"/>
      <c r="AP6" s="80"/>
      <c r="AR6" s="80" t="s">
        <v>205</v>
      </c>
      <c r="AS6" s="80"/>
    </row>
    <row r="7" spans="20:45">
      <c r="T7" s="80"/>
      <c r="U7" s="80"/>
      <c r="V7" s="80"/>
      <c r="W7" s="80"/>
      <c r="X7" s="80"/>
      <c r="Y7" s="80"/>
      <c r="Z7" s="94"/>
      <c r="AH7" s="80"/>
      <c r="AI7" s="80"/>
      <c r="AJ7" s="80"/>
      <c r="AK7" s="100">
        <v>32</v>
      </c>
      <c r="AL7" s="100">
        <v>16</v>
      </c>
      <c r="AM7" s="80"/>
      <c r="AN7" s="80"/>
      <c r="AO7" s="80"/>
      <c r="AP7" s="80"/>
      <c r="AR7" s="80" t="s">
        <v>187</v>
      </c>
      <c r="AS7" s="80"/>
    </row>
    <row r="8" spans="20:45">
      <c r="T8" s="80"/>
      <c r="U8" s="80"/>
      <c r="V8" s="80"/>
      <c r="W8" s="80"/>
      <c r="X8" s="80"/>
      <c r="Y8" s="80"/>
      <c r="Z8" s="80"/>
      <c r="AA8" s="80"/>
      <c r="AB8" s="80"/>
      <c r="AC8" s="80"/>
      <c r="AD8" s="80"/>
      <c r="AE8" s="80"/>
      <c r="AF8" s="80"/>
      <c r="AG8" s="80"/>
      <c r="AH8" s="80"/>
      <c r="AI8" s="80"/>
      <c r="AJ8" s="80"/>
      <c r="AK8" s="100">
        <v>60</v>
      </c>
      <c r="AL8" s="100">
        <v>32</v>
      </c>
      <c r="AM8" s="80"/>
      <c r="AN8" s="80"/>
      <c r="AO8" s="80"/>
      <c r="AP8" s="80"/>
      <c r="AQ8" s="80"/>
      <c r="AR8" s="80" t="s">
        <v>206</v>
      </c>
      <c r="AS8" s="80"/>
    </row>
    <row r="9" spans="20:45">
      <c r="T9" s="80"/>
      <c r="U9" s="80"/>
      <c r="V9" s="80"/>
      <c r="W9" s="80"/>
      <c r="X9" s="80"/>
      <c r="Y9" s="80"/>
      <c r="Z9" s="80"/>
      <c r="AA9" s="80"/>
      <c r="AB9" s="80"/>
      <c r="AC9" s="80"/>
      <c r="AD9" s="80"/>
      <c r="AE9" s="80"/>
      <c r="AF9" s="80"/>
      <c r="AG9" s="80"/>
      <c r="AH9" s="80"/>
      <c r="AI9" s="80"/>
      <c r="AJ9" s="80"/>
      <c r="AK9" s="100">
        <v>64</v>
      </c>
      <c r="AL9" s="100">
        <v>64</v>
      </c>
      <c r="AM9" s="80"/>
      <c r="AN9" s="80"/>
      <c r="AO9" s="80"/>
      <c r="AP9" s="80"/>
      <c r="AQ9" s="80"/>
      <c r="AR9" s="80" t="s">
        <v>207</v>
      </c>
      <c r="AS9" s="80"/>
    </row>
    <row r="10" spans="20:45">
      <c r="T10" s="80"/>
      <c r="U10" s="80"/>
      <c r="V10" s="80"/>
      <c r="W10" s="80"/>
      <c r="X10" s="80"/>
      <c r="Y10" s="80"/>
      <c r="Z10" s="80"/>
      <c r="AA10" s="80"/>
      <c r="AB10" s="80"/>
      <c r="AC10" s="80"/>
      <c r="AD10" s="80"/>
      <c r="AE10" s="80"/>
      <c r="AF10" s="80"/>
      <c r="AG10" s="80"/>
      <c r="AH10" s="80"/>
      <c r="AI10" s="80"/>
      <c r="AJ10" s="80"/>
      <c r="AK10" s="80"/>
      <c r="AL10" s="100">
        <v>24</v>
      </c>
      <c r="AM10" s="80"/>
      <c r="AN10" s="80"/>
      <c r="AO10" s="80"/>
      <c r="AP10" s="80"/>
      <c r="AQ10" s="80"/>
      <c r="AR10" s="80" t="s">
        <v>208</v>
      </c>
      <c r="AS10" s="80"/>
    </row>
    <row r="11" spans="20:45">
      <c r="T11" s="80"/>
      <c r="U11" s="80"/>
      <c r="V11" s="80"/>
      <c r="W11" s="80"/>
      <c r="X11" s="80"/>
      <c r="Y11" s="80"/>
      <c r="Z11" s="80"/>
      <c r="AA11" s="80"/>
      <c r="AB11" s="80"/>
      <c r="AC11" s="80"/>
      <c r="AD11" s="80"/>
      <c r="AE11" s="80"/>
      <c r="AF11" s="80"/>
      <c r="AG11" s="80"/>
      <c r="AH11" s="80"/>
      <c r="AI11" s="80"/>
      <c r="AJ11" s="80"/>
      <c r="AK11" s="100"/>
      <c r="AL11" s="100">
        <v>48</v>
      </c>
      <c r="AM11" s="80"/>
      <c r="AN11" s="80"/>
      <c r="AO11" s="80"/>
      <c r="AP11" s="80"/>
      <c r="AQ11" s="80"/>
      <c r="AR11" s="80" t="s">
        <v>209</v>
      </c>
      <c r="AS11" s="80"/>
    </row>
    <row r="12" spans="20:45">
      <c r="T12" s="80"/>
      <c r="U12" s="80"/>
      <c r="V12" s="80"/>
      <c r="W12" s="80"/>
      <c r="X12" s="80"/>
      <c r="Y12" s="80"/>
      <c r="Z12" s="80"/>
      <c r="AA12" s="80"/>
      <c r="AB12" s="80"/>
      <c r="AC12" s="80"/>
      <c r="AD12" s="80"/>
      <c r="AE12" s="80"/>
      <c r="AF12" s="80"/>
      <c r="AG12" s="80"/>
      <c r="AH12" s="80"/>
      <c r="AI12" s="80"/>
      <c r="AJ12" s="80"/>
      <c r="AK12" s="100"/>
      <c r="AL12" s="100">
        <v>96</v>
      </c>
      <c r="AM12" s="80"/>
      <c r="AN12" s="80"/>
      <c r="AO12" s="80"/>
      <c r="AP12" s="80"/>
      <c r="AQ12" s="80"/>
      <c r="AR12" s="80" t="s">
        <v>210</v>
      </c>
      <c r="AS12" s="80"/>
    </row>
    <row r="13" spans="20:45">
      <c r="T13" s="80"/>
      <c r="U13" s="80"/>
      <c r="V13" s="80"/>
      <c r="W13" s="80"/>
      <c r="X13" s="80"/>
      <c r="Y13" s="80"/>
      <c r="Z13" s="80"/>
      <c r="AA13" s="80"/>
      <c r="AB13" s="80"/>
      <c r="AC13" s="80"/>
      <c r="AD13" s="80"/>
      <c r="AE13" s="80"/>
      <c r="AF13" s="80"/>
      <c r="AG13" s="80"/>
      <c r="AH13" s="80"/>
      <c r="AI13" s="80"/>
      <c r="AJ13" s="80"/>
      <c r="AK13" s="80"/>
      <c r="AL13" s="100">
        <v>32</v>
      </c>
      <c r="AM13" s="80"/>
      <c r="AN13" s="80"/>
      <c r="AO13" s="80"/>
      <c r="AP13" s="80"/>
      <c r="AQ13" s="80"/>
      <c r="AR13" s="80" t="s">
        <v>211</v>
      </c>
      <c r="AS13" s="80"/>
    </row>
    <row r="14" spans="20:45">
      <c r="T14" s="80"/>
      <c r="U14" s="80"/>
      <c r="V14" s="80"/>
      <c r="W14" s="80"/>
      <c r="X14" s="80"/>
      <c r="Y14" s="80"/>
      <c r="Z14" s="80"/>
      <c r="AA14" s="80"/>
      <c r="AB14" s="80"/>
      <c r="AC14" s="80"/>
      <c r="AD14" s="80"/>
      <c r="AE14" s="80"/>
      <c r="AF14" s="80"/>
      <c r="AG14" s="80"/>
      <c r="AH14" s="80"/>
      <c r="AI14" s="80"/>
      <c r="AJ14" s="80"/>
      <c r="AK14" s="100"/>
      <c r="AL14" s="100">
        <v>64</v>
      </c>
      <c r="AM14" s="80"/>
      <c r="AN14" s="80"/>
      <c r="AO14" s="80"/>
      <c r="AP14" s="80"/>
      <c r="AQ14" s="80"/>
      <c r="AR14" s="80" t="s">
        <v>200</v>
      </c>
      <c r="AS14" s="80"/>
    </row>
    <row r="15" spans="20:45">
      <c r="T15" s="80"/>
      <c r="U15" s="80"/>
      <c r="V15" s="80"/>
      <c r="W15" s="80"/>
      <c r="X15" s="80"/>
      <c r="Y15" s="80"/>
      <c r="Z15" s="80"/>
      <c r="AA15" s="80"/>
      <c r="AB15" s="80"/>
      <c r="AC15" s="80"/>
      <c r="AD15" s="80"/>
      <c r="AE15" s="80"/>
      <c r="AF15" s="80"/>
      <c r="AG15" s="80"/>
      <c r="AH15" s="80"/>
      <c r="AI15" s="80"/>
      <c r="AJ15" s="80"/>
      <c r="AK15" s="100"/>
      <c r="AL15" s="100">
        <v>128</v>
      </c>
      <c r="AM15" s="80"/>
      <c r="AN15" s="80"/>
      <c r="AO15" s="80"/>
      <c r="AP15" s="80"/>
      <c r="AQ15" s="80"/>
      <c r="AR15" s="80" t="s">
        <v>212</v>
      </c>
      <c r="AS15" s="80"/>
    </row>
    <row r="16" spans="20:45">
      <c r="T16" s="80"/>
      <c r="U16" s="80"/>
      <c r="V16" s="80"/>
      <c r="W16" s="80"/>
      <c r="X16" s="80"/>
      <c r="Y16" s="80"/>
      <c r="Z16" s="80"/>
      <c r="AA16" s="80"/>
      <c r="AB16" s="80"/>
      <c r="AC16" s="80"/>
      <c r="AD16" s="80"/>
      <c r="AE16" s="80"/>
      <c r="AF16" s="80"/>
      <c r="AG16" s="80"/>
      <c r="AH16" s="80"/>
      <c r="AI16" s="80"/>
      <c r="AJ16" s="80"/>
      <c r="AK16" s="80"/>
      <c r="AL16" s="100">
        <v>48</v>
      </c>
      <c r="AM16" s="80"/>
      <c r="AN16" s="80"/>
      <c r="AO16" s="80"/>
      <c r="AP16" s="80"/>
      <c r="AQ16" s="80"/>
      <c r="AR16" s="80" t="s">
        <v>213</v>
      </c>
      <c r="AS16" s="80"/>
    </row>
    <row r="17" spans="20:45">
      <c r="T17" s="80"/>
      <c r="U17" s="80"/>
      <c r="V17" s="80"/>
      <c r="W17" s="80"/>
      <c r="X17" s="80"/>
      <c r="Y17" s="80"/>
      <c r="Z17" s="80"/>
      <c r="AA17" s="80"/>
      <c r="AB17" s="80"/>
      <c r="AC17" s="80"/>
      <c r="AD17" s="80"/>
      <c r="AE17" s="80"/>
      <c r="AF17" s="80"/>
      <c r="AG17" s="80"/>
      <c r="AH17" s="80"/>
      <c r="AI17" s="80"/>
      <c r="AJ17" s="80"/>
      <c r="AK17" s="100"/>
      <c r="AL17" s="100">
        <v>96</v>
      </c>
      <c r="AM17" s="80"/>
      <c r="AN17" s="80"/>
      <c r="AO17" s="80"/>
      <c r="AP17" s="80"/>
      <c r="AQ17" s="80"/>
      <c r="AR17" s="80" t="s">
        <v>214</v>
      </c>
      <c r="AS17" s="80"/>
    </row>
    <row r="18" spans="20:45">
      <c r="T18" s="80"/>
      <c r="U18" s="80"/>
      <c r="V18" s="80"/>
      <c r="W18" s="80"/>
      <c r="X18" s="80"/>
      <c r="Y18" s="80"/>
      <c r="Z18" s="80"/>
      <c r="AA18" s="80"/>
      <c r="AB18" s="80"/>
      <c r="AC18" s="80"/>
      <c r="AD18" s="80"/>
      <c r="AE18" s="80"/>
      <c r="AF18" s="80"/>
      <c r="AG18" s="80"/>
      <c r="AH18" s="80"/>
      <c r="AI18" s="80"/>
      <c r="AJ18" s="80"/>
      <c r="AK18" s="100"/>
      <c r="AL18" s="100">
        <v>192</v>
      </c>
      <c r="AM18" s="80"/>
      <c r="AN18" s="80"/>
      <c r="AO18" s="80"/>
      <c r="AP18" s="80"/>
      <c r="AQ18" s="80"/>
      <c r="AR18" s="80" t="s">
        <v>215</v>
      </c>
      <c r="AS18" s="80"/>
    </row>
    <row r="19" spans="20:45">
      <c r="T19" s="80"/>
      <c r="U19" s="80"/>
      <c r="V19" s="80"/>
      <c r="W19" s="80"/>
      <c r="X19" s="80"/>
      <c r="Y19" s="80"/>
      <c r="Z19" s="80"/>
      <c r="AA19" s="80"/>
      <c r="AB19" s="80"/>
      <c r="AC19" s="80"/>
      <c r="AD19" s="80"/>
      <c r="AE19" s="80"/>
      <c r="AF19" s="80"/>
      <c r="AG19" s="80"/>
      <c r="AH19" s="80"/>
      <c r="AI19" s="80"/>
      <c r="AJ19" s="80"/>
      <c r="AK19" s="80"/>
      <c r="AL19" s="100">
        <v>64</v>
      </c>
      <c r="AM19" s="80"/>
      <c r="AN19" s="80"/>
      <c r="AO19" s="80"/>
      <c r="AP19" s="80"/>
      <c r="AQ19" s="80"/>
      <c r="AR19" s="80" t="s">
        <v>216</v>
      </c>
      <c r="AS19" s="80"/>
    </row>
    <row r="20" spans="20:45">
      <c r="T20" s="80"/>
      <c r="U20" s="80"/>
      <c r="V20" s="80"/>
      <c r="W20" s="80"/>
      <c r="X20" s="80"/>
      <c r="Y20" s="80"/>
      <c r="Z20" s="80"/>
      <c r="AA20" s="80"/>
      <c r="AB20" s="80"/>
      <c r="AC20" s="80"/>
      <c r="AD20" s="80"/>
      <c r="AE20" s="80"/>
      <c r="AF20" s="80"/>
      <c r="AG20" s="80"/>
      <c r="AH20" s="80"/>
      <c r="AI20" s="80"/>
      <c r="AJ20" s="80"/>
      <c r="AK20" s="100"/>
      <c r="AL20" s="100">
        <v>128</v>
      </c>
      <c r="AM20" s="80"/>
      <c r="AN20" s="80"/>
      <c r="AO20" s="80"/>
      <c r="AP20" s="80"/>
      <c r="AQ20" s="80"/>
      <c r="AR20" s="80" t="s">
        <v>188</v>
      </c>
      <c r="AS20" s="80"/>
    </row>
    <row r="21" spans="20:45">
      <c r="T21" s="80"/>
      <c r="U21" s="80"/>
      <c r="V21" s="80"/>
      <c r="W21" s="80"/>
      <c r="X21" s="80"/>
      <c r="Y21" s="80"/>
      <c r="Z21" s="80"/>
      <c r="AA21" s="80"/>
      <c r="AB21" s="80"/>
      <c r="AC21" s="80"/>
      <c r="AD21" s="80"/>
      <c r="AE21" s="80"/>
      <c r="AF21" s="80"/>
      <c r="AG21" s="80"/>
      <c r="AH21" s="80"/>
      <c r="AI21" s="80"/>
      <c r="AJ21" s="80"/>
      <c r="AK21" s="100"/>
      <c r="AL21" s="100">
        <v>256</v>
      </c>
      <c r="AM21" s="80"/>
      <c r="AN21" s="80"/>
      <c r="AO21" s="80"/>
      <c r="AP21" s="80"/>
      <c r="AQ21" s="80"/>
      <c r="AR21" s="80"/>
      <c r="AS21" s="80"/>
    </row>
    <row r="22" spans="20:45">
      <c r="T22" s="80"/>
      <c r="U22" s="80"/>
      <c r="V22" s="80"/>
      <c r="W22" s="80"/>
      <c r="X22" s="80"/>
      <c r="Y22" s="80"/>
      <c r="Z22" s="80"/>
      <c r="AA22" s="80"/>
      <c r="AB22" s="80"/>
      <c r="AC22" s="80"/>
      <c r="AD22" s="80"/>
      <c r="AE22" s="80"/>
      <c r="AF22" s="80"/>
      <c r="AG22" s="80"/>
      <c r="AH22" s="80"/>
      <c r="AI22" s="80"/>
      <c r="AJ22" s="80"/>
      <c r="AK22" s="80"/>
      <c r="AL22" s="100">
        <v>480</v>
      </c>
      <c r="AM22" s="80"/>
      <c r="AN22" s="80"/>
      <c r="AO22" s="80"/>
      <c r="AP22" s="80"/>
      <c r="AQ22" s="80"/>
      <c r="AR22" s="80"/>
      <c r="AS22" s="80"/>
    </row>
    <row r="23" spans="20:45">
      <c r="T23" s="80"/>
      <c r="U23" s="80"/>
      <c r="V23" s="80"/>
      <c r="W23" s="80"/>
      <c r="X23" s="80"/>
      <c r="Y23" s="80"/>
      <c r="Z23" s="80"/>
      <c r="AA23" s="80"/>
      <c r="AB23" s="80"/>
      <c r="AC23" s="80"/>
      <c r="AD23" s="80"/>
      <c r="AE23" s="80"/>
      <c r="AF23" s="80"/>
      <c r="AG23" s="80"/>
      <c r="AH23" s="80"/>
      <c r="AI23" s="80"/>
      <c r="AJ23" s="80"/>
      <c r="AK23" s="100"/>
      <c r="AL23" s="100">
        <v>128</v>
      </c>
      <c r="AM23" s="80"/>
      <c r="AN23" s="80"/>
      <c r="AO23" s="80"/>
      <c r="AP23" s="80"/>
      <c r="AQ23" s="80"/>
      <c r="AR23" s="80"/>
      <c r="AS23" s="80"/>
    </row>
    <row r="24" spans="20:45">
      <c r="T24" s="80"/>
      <c r="U24" s="80"/>
      <c r="V24" s="80"/>
      <c r="W24" s="80"/>
      <c r="X24" s="80"/>
      <c r="Y24" s="80"/>
      <c r="Z24" s="80"/>
      <c r="AA24" s="80"/>
      <c r="AB24" s="80"/>
      <c r="AC24" s="80"/>
      <c r="AD24" s="80"/>
      <c r="AE24" s="80"/>
      <c r="AF24" s="80"/>
      <c r="AG24" s="80"/>
      <c r="AH24" s="80"/>
      <c r="AI24" s="80"/>
      <c r="AJ24" s="80"/>
      <c r="AK24" s="80"/>
      <c r="AL24" s="100">
        <v>256</v>
      </c>
      <c r="AM24" s="80"/>
      <c r="AN24" s="80"/>
      <c r="AO24" s="80"/>
      <c r="AP24" s="80"/>
      <c r="AQ24" s="80"/>
      <c r="AR24" s="80"/>
      <c r="AS24" s="80"/>
    </row>
  </sheetData>
  <sheetProtection algorithmName="SHA-512" hashValue="VMVYYbfcCQrA0ABHUA6TgaXtv0mgO1Q9FrL/JriqlZ+qRjr0HApffTEey+dCvPzpLm02dyMeEIjBkB1B0gs2dA==" saltValue="6qW4dX6lE8VC0jlNRtBdr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129AC6B1A306419A743BA170D50EC2" ma:contentTypeVersion="10" ma:contentTypeDescription="Create a new document." ma:contentTypeScope="" ma:versionID="f49f213f9286e701c90fbb6a6260a6aa">
  <xsd:schema xmlns:xsd="http://www.w3.org/2001/XMLSchema" xmlns:xs="http://www.w3.org/2001/XMLSchema" xmlns:p="http://schemas.microsoft.com/office/2006/metadata/properties" xmlns:ns3="9ef143bb-aa78-4bb1-abd6-b02610d7c093" targetNamespace="http://schemas.microsoft.com/office/2006/metadata/properties" ma:root="true" ma:fieldsID="d685a105bbb362e9721343d3e5c22ba1" ns3:_="">
    <xsd:import namespace="9ef143bb-aa78-4bb1-abd6-b02610d7c09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f143bb-aa78-4bb1-abd6-b02610d7c09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9ef143bb-aa78-4bb1-abd6-b02610d7c093" xsi:nil="true"/>
  </documentManagement>
</p:properties>
</file>

<file path=customXml/itemProps1.xml><?xml version="1.0" encoding="utf-8"?>
<ds:datastoreItem xmlns:ds="http://schemas.openxmlformats.org/officeDocument/2006/customXml" ds:itemID="{350BC669-637C-4A33-A761-1CF92447F95F}">
  <ds:schemaRefs>
    <ds:schemaRef ds:uri="http://schemas.microsoft.com/sharepoint/v3/contenttype/forms"/>
  </ds:schemaRefs>
</ds:datastoreItem>
</file>

<file path=customXml/itemProps2.xml><?xml version="1.0" encoding="utf-8"?>
<ds:datastoreItem xmlns:ds="http://schemas.openxmlformats.org/officeDocument/2006/customXml" ds:itemID="{700FF4A8-EFE7-4949-ABB8-53CACFD7F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f143bb-aa78-4bb1-abd6-b02610d7c0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8191E0-7451-44B2-8D15-F4CA81790475}">
  <ds:schemaRefs>
    <ds:schemaRef ds:uri="http://schemas.microsoft.com/DataMashup"/>
  </ds:schemaRefs>
</ds:datastoreItem>
</file>

<file path=customXml/itemProps4.xml><?xml version="1.0" encoding="utf-8"?>
<ds:datastoreItem xmlns:ds="http://schemas.openxmlformats.org/officeDocument/2006/customXml" ds:itemID="{E33D8946-261E-47D0-9B42-D2702B622D23}">
  <ds:schemaRefs>
    <ds:schemaRef ds:uri="http://schemas.microsoft.com/office/2006/metadata/properties"/>
    <ds:schemaRef ds:uri="http://purl.org/dc/dcmitype/"/>
    <ds:schemaRef ds:uri="http://purl.org/dc/elements/1.1/"/>
    <ds:schemaRef ds:uri="http://schemas.microsoft.com/office/2006/documentManagement/types"/>
    <ds:schemaRef ds:uri="http://purl.org/dc/terms/"/>
    <ds:schemaRef ds:uri="9ef143bb-aa78-4bb1-abd6-b02610d7c093"/>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Instructions</vt:lpstr>
      <vt:lpstr>KYA</vt:lpstr>
      <vt:lpstr>ArchitectureDiagram</vt:lpstr>
      <vt:lpstr>Infra Requirements</vt:lpstr>
      <vt:lpstr>'Infra Requirements'!Bandwidth_List</vt:lpstr>
      <vt:lpstr>'Infra Requirements'!Blank_List</vt:lpstr>
      <vt:lpstr>Option1</vt:lpstr>
      <vt:lpstr>Option2</vt:lpstr>
      <vt:lpstr>Option3</vt:lpstr>
      <vt:lpstr>RHEL</vt:lpstr>
      <vt:lpstr>Ubuntu</vt:lpstr>
      <vt:lpstr>'Infra Requirements'!vCPU_Redis</vt:lpstr>
      <vt:lpstr>'Infra Requirements'!vCPU_Standard</vt:lpstr>
      <vt:lpstr>Windows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Babbar;Sourabh6 Gupta</dc:creator>
  <cp:keywords>Last Update - 13May</cp:keywords>
  <cp:lastModifiedBy>Sourabh6 Gupta</cp:lastModifiedBy>
  <dcterms:created xsi:type="dcterms:W3CDTF">2024-06-07T18:02:40Z</dcterms:created>
  <dcterms:modified xsi:type="dcterms:W3CDTF">2026-05-13T03:56:43Z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0x01010066129AC6B1A306419A743BA170D50EC2</vt:lpwstr>
  </property>
</Properties>
</file>